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pin\Nutstore\1\我的坚果云\飞机设计\"/>
    </mc:Choice>
  </mc:AlternateContent>
  <xr:revisionPtr revIDLastSave="0" documentId="13_ncr:1_{5C8BC31E-8D83-41C4-BB4B-B3258E0D0088}" xr6:coauthVersionLast="47" xr6:coauthVersionMax="47" xr10:uidLastSave="{00000000-0000-0000-0000-000000000000}"/>
  <bookViews>
    <workbookView xWindow="-110" yWindow="-110" windowWidth="25820" windowHeight="15500" activeTab="5" xr2:uid="{00000000-000D-0000-FFFF-FFFF00000000}"/>
  </bookViews>
  <sheets>
    <sheet name="00_大气属性" sheetId="4" r:id="rId1"/>
    <sheet name="01_单位换算" sheetId="2" r:id="rId2"/>
    <sheet name="02_飞机费用分析" sheetId="1" r:id="rId3"/>
    <sheet name="03_初始参数确定" sheetId="3" r:id="rId4"/>
    <sheet name="04_重量分析" sheetId="5" r:id="rId5"/>
    <sheet name="05_发动机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2" l="1"/>
  <c r="W3" i="2"/>
  <c r="D73" i="5"/>
  <c r="D72" i="5"/>
  <c r="D69" i="5"/>
  <c r="D68" i="5"/>
  <c r="D65" i="5"/>
  <c r="D62" i="5"/>
  <c r="D61" i="5"/>
  <c r="D60" i="5"/>
  <c r="D50" i="5"/>
  <c r="D24" i="5"/>
  <c r="D25" i="5" s="1"/>
  <c r="D26" i="5" s="1"/>
  <c r="D27" i="5" s="1"/>
  <c r="D5" i="5"/>
  <c r="I3" i="5" s="1"/>
  <c r="S6" i="2"/>
  <c r="S7" i="2"/>
  <c r="O5" i="2"/>
  <c r="O4" i="2" s="1"/>
  <c r="S4" i="2"/>
  <c r="S5" i="2"/>
  <c r="K7" i="2"/>
  <c r="D55" i="3"/>
  <c r="D57" i="3" s="1"/>
  <c r="H70" i="3"/>
  <c r="H71" i="3"/>
  <c r="H72" i="3"/>
  <c r="H73" i="3"/>
  <c r="H74" i="3"/>
  <c r="H75" i="3"/>
  <c r="H76" i="3"/>
  <c r="K5" i="2"/>
  <c r="D53" i="3"/>
  <c r="J62" i="3" s="1"/>
  <c r="D56" i="3"/>
  <c r="D54" i="3"/>
  <c r="J14" i="3"/>
  <c r="AI5" i="3" s="1"/>
  <c r="J13" i="3"/>
  <c r="J11" i="3"/>
  <c r="J12" i="3" s="1"/>
  <c r="J10" i="3"/>
  <c r="J9" i="3"/>
  <c r="J8" i="3"/>
  <c r="B18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2" i="4"/>
  <c r="G8" i="2"/>
  <c r="G9" i="2"/>
  <c r="G6" i="2"/>
  <c r="G7" i="2"/>
  <c r="O2" i="2"/>
  <c r="O3" i="2" s="1"/>
  <c r="J6" i="3"/>
  <c r="J7" i="3" s="1"/>
  <c r="J4" i="3"/>
  <c r="J5" i="3" s="1"/>
  <c r="F10" i="3"/>
  <c r="F15" i="3"/>
  <c r="F13" i="3"/>
  <c r="F12" i="3"/>
  <c r="F8" i="3"/>
  <c r="F5" i="3"/>
  <c r="G5" i="2"/>
  <c r="G4" i="2"/>
  <c r="K2" i="2"/>
  <c r="E3" i="4" s="1"/>
  <c r="F14" i="3"/>
  <c r="F11" i="3"/>
  <c r="F9" i="3"/>
  <c r="F6" i="3"/>
  <c r="F4" i="3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4" i="1"/>
  <c r="N6" i="1"/>
  <c r="N5" i="1"/>
  <c r="N4" i="1"/>
  <c r="N7" i="1"/>
  <c r="N11" i="1"/>
  <c r="N10" i="1"/>
  <c r="N9" i="1"/>
  <c r="N8" i="1"/>
  <c r="N13" i="1"/>
  <c r="N14" i="1"/>
  <c r="N15" i="1"/>
  <c r="N16" i="1"/>
  <c r="N17" i="1"/>
  <c r="N18" i="1"/>
  <c r="N19" i="1"/>
  <c r="N20" i="1"/>
  <c r="N21" i="1"/>
  <c r="N12" i="1"/>
  <c r="K13" i="1"/>
  <c r="K15" i="1" s="1"/>
  <c r="D4" i="1"/>
  <c r="D3" i="1"/>
  <c r="H9" i="1"/>
  <c r="J9" i="1" s="1"/>
  <c r="J10" i="1" s="1"/>
  <c r="K10" i="1" s="1"/>
  <c r="C10" i="1"/>
  <c r="H7" i="1" s="1"/>
  <c r="J7" i="1" s="1"/>
  <c r="K7" i="1" s="1"/>
  <c r="H4" i="1"/>
  <c r="J4" i="1" s="1"/>
  <c r="K4" i="1" s="1"/>
  <c r="G3" i="2"/>
  <c r="G2" i="2"/>
  <c r="C3" i="2"/>
  <c r="C2" i="2"/>
  <c r="C70" i="3" a="1"/>
  <c r="C76" i="3" a="1"/>
  <c r="C74" i="3" a="1"/>
  <c r="C75" i="3" a="1"/>
  <c r="C73" i="3" a="1"/>
  <c r="C71" i="3" a="1"/>
  <c r="C72" i="3" a="1"/>
  <c r="E18" i="4" l="1"/>
  <c r="E15" i="4"/>
  <c r="E17" i="4"/>
  <c r="E9" i="4"/>
  <c r="E16" i="4"/>
  <c r="E14" i="4"/>
  <c r="E11" i="4"/>
  <c r="E10" i="4"/>
  <c r="E8" i="4"/>
  <c r="S2" i="2"/>
  <c r="S3" i="2" s="1"/>
  <c r="E13" i="4"/>
  <c r="E12" i="4"/>
  <c r="E7" i="4"/>
  <c r="K3" i="2"/>
  <c r="E6" i="4"/>
  <c r="E5" i="4"/>
  <c r="E4" i="4"/>
  <c r="E2" i="4"/>
  <c r="D35" i="5"/>
  <c r="D51" i="5" s="1"/>
  <c r="D52" i="5" s="1"/>
  <c r="D30" i="5"/>
  <c r="D41" i="5" s="1"/>
  <c r="D31" i="5"/>
  <c r="D34" i="5"/>
  <c r="C76" i="3"/>
  <c r="C75" i="3"/>
  <c r="C74" i="3"/>
  <c r="C72" i="3"/>
  <c r="C73" i="3"/>
  <c r="C71" i="3"/>
  <c r="C70" i="3"/>
  <c r="K65" i="3"/>
  <c r="G62" i="3"/>
  <c r="H62" i="3"/>
  <c r="J65" i="3"/>
  <c r="I62" i="3"/>
  <c r="S10" i="3"/>
  <c r="Z10" i="3" s="1"/>
  <c r="AG10" i="3" s="1"/>
  <c r="F62" i="3"/>
  <c r="E62" i="3"/>
  <c r="D62" i="3"/>
  <c r="H67" i="3"/>
  <c r="J67" i="3"/>
  <c r="E66" i="3"/>
  <c r="G67" i="3"/>
  <c r="F66" i="3"/>
  <c r="D66" i="3"/>
  <c r="C66" i="3"/>
  <c r="I65" i="3"/>
  <c r="H64" i="3"/>
  <c r="G64" i="3"/>
  <c r="F61" i="3"/>
  <c r="F64" i="3"/>
  <c r="E61" i="3"/>
  <c r="E64" i="3"/>
  <c r="K67" i="3"/>
  <c r="D64" i="3"/>
  <c r="C64" i="3"/>
  <c r="I67" i="3"/>
  <c r="K63" i="3"/>
  <c r="F67" i="3"/>
  <c r="J63" i="3"/>
  <c r="C62" i="3"/>
  <c r="I63" i="3"/>
  <c r="D67" i="3"/>
  <c r="F65" i="3"/>
  <c r="D61" i="3"/>
  <c r="E65" i="3"/>
  <c r="K61" i="3"/>
  <c r="D65" i="3"/>
  <c r="F63" i="3"/>
  <c r="J66" i="3"/>
  <c r="I61" i="3"/>
  <c r="I66" i="3"/>
  <c r="K64" i="3"/>
  <c r="D63" i="3"/>
  <c r="E67" i="3"/>
  <c r="G65" i="3"/>
  <c r="C61" i="3"/>
  <c r="H63" i="3"/>
  <c r="C67" i="3"/>
  <c r="G63" i="3"/>
  <c r="K66" i="3"/>
  <c r="J61" i="3"/>
  <c r="C65" i="3"/>
  <c r="E63" i="3"/>
  <c r="H61" i="3"/>
  <c r="H66" i="3"/>
  <c r="J64" i="3"/>
  <c r="C63" i="3"/>
  <c r="H65" i="3"/>
  <c r="G61" i="3"/>
  <c r="G66" i="3"/>
  <c r="I64" i="3"/>
  <c r="K62" i="3"/>
  <c r="AO8" i="3"/>
  <c r="AM8" i="3"/>
  <c r="AN11" i="3"/>
  <c r="AM13" i="3"/>
  <c r="AJ9" i="3"/>
  <c r="AI9" i="3"/>
  <c r="AN8" i="3"/>
  <c r="AL8" i="3"/>
  <c r="AJ8" i="3"/>
  <c r="AK15" i="3"/>
  <c r="AJ15" i="3"/>
  <c r="AI11" i="3"/>
  <c r="AO14" i="3"/>
  <c r="AO10" i="3"/>
  <c r="AM6" i="3"/>
  <c r="AN4" i="3"/>
  <c r="AO12" i="3"/>
  <c r="AN12" i="3"/>
  <c r="AM12" i="3"/>
  <c r="AM15" i="3"/>
  <c r="AL15" i="3"/>
  <c r="AK11" i="3"/>
  <c r="AJ11" i="3"/>
  <c r="AI15" i="3"/>
  <c r="AI14" i="3"/>
  <c r="AN10" i="3"/>
  <c r="AJ6" i="3"/>
  <c r="AJ13" i="3"/>
  <c r="AI13" i="3"/>
  <c r="AO4" i="3"/>
  <c r="AK8" i="3"/>
  <c r="AM11" i="3"/>
  <c r="AJ7" i="3"/>
  <c r="AI7" i="3"/>
  <c r="AN6" i="3"/>
  <c r="AO13" i="3"/>
  <c r="AM10" i="3"/>
  <c r="AI6" i="3"/>
  <c r="AO15" i="3"/>
  <c r="AN15" i="3"/>
  <c r="AL11" i="3"/>
  <c r="AO6" i="3"/>
  <c r="AN13" i="3"/>
  <c r="AK9" i="3"/>
  <c r="AO5" i="3"/>
  <c r="AL13" i="3"/>
  <c r="AL10" i="3"/>
  <c r="AL6" i="3"/>
  <c r="AM4" i="3"/>
  <c r="AK13" i="3"/>
  <c r="AL9" i="3"/>
  <c r="AK6" i="3"/>
  <c r="AI4" i="3"/>
  <c r="AM14" i="3"/>
  <c r="AK12" i="3"/>
  <c r="AI10" i="3"/>
  <c r="AN7" i="3"/>
  <c r="AL5" i="3"/>
  <c r="AI8" i="3"/>
  <c r="AJ4" i="3"/>
  <c r="AL14" i="3"/>
  <c r="AJ12" i="3"/>
  <c r="AO9" i="3"/>
  <c r="AM7" i="3"/>
  <c r="AK5" i="3"/>
  <c r="AL12" i="3"/>
  <c r="AM5" i="3"/>
  <c r="AK4" i="3"/>
  <c r="AK14" i="3"/>
  <c r="AI12" i="3"/>
  <c r="AN9" i="3"/>
  <c r="AL7" i="3"/>
  <c r="AJ5" i="3"/>
  <c r="AK10" i="3"/>
  <c r="AN5" i="3"/>
  <c r="AN14" i="3"/>
  <c r="AJ10" i="3"/>
  <c r="AO7" i="3"/>
  <c r="AL4" i="3"/>
  <c r="AJ14" i="3"/>
  <c r="AO11" i="3"/>
  <c r="AM9" i="3"/>
  <c r="AK7" i="3"/>
  <c r="R8" i="3"/>
  <c r="Y8" i="3" s="1"/>
  <c r="AF8" i="3" s="1"/>
  <c r="R7" i="3"/>
  <c r="Y7" i="3" s="1"/>
  <c r="AF7" i="3" s="1"/>
  <c r="S12" i="3"/>
  <c r="Z12" i="3" s="1"/>
  <c r="AG12" i="3" s="1"/>
  <c r="R6" i="3"/>
  <c r="Y6" i="3" s="1"/>
  <c r="AF6" i="3" s="1"/>
  <c r="R5" i="3"/>
  <c r="Y5" i="3" s="1"/>
  <c r="AF5" i="3" s="1"/>
  <c r="R4" i="3"/>
  <c r="Y4" i="3" s="1"/>
  <c r="AF4" i="3" s="1"/>
  <c r="S15" i="3"/>
  <c r="Z15" i="3" s="1"/>
  <c r="AG15" i="3" s="1"/>
  <c r="T5" i="3"/>
  <c r="AA5" i="3" s="1"/>
  <c r="AH5" i="3" s="1"/>
  <c r="S5" i="3"/>
  <c r="Z5" i="3" s="1"/>
  <c r="AG5" i="3" s="1"/>
  <c r="S13" i="3"/>
  <c r="Z13" i="3" s="1"/>
  <c r="AG13" i="3" s="1"/>
  <c r="S14" i="3"/>
  <c r="Z14" i="3" s="1"/>
  <c r="AG14" i="3" s="1"/>
  <c r="S4" i="3"/>
  <c r="Z4" i="3" s="1"/>
  <c r="AG4" i="3" s="1"/>
  <c r="T13" i="3"/>
  <c r="AA13" i="3" s="1"/>
  <c r="AH13" i="3" s="1"/>
  <c r="S11" i="3"/>
  <c r="Z11" i="3" s="1"/>
  <c r="AG11" i="3" s="1"/>
  <c r="T4" i="3"/>
  <c r="AA4" i="3" s="1"/>
  <c r="AH4" i="3" s="1"/>
  <c r="T15" i="3"/>
  <c r="AA15" i="3" s="1"/>
  <c r="AH15" i="3" s="1"/>
  <c r="T12" i="3"/>
  <c r="AA12" i="3" s="1"/>
  <c r="AH12" i="3" s="1"/>
  <c r="R14" i="3"/>
  <c r="Y14" i="3" s="1"/>
  <c r="AF14" i="3" s="1"/>
  <c r="T6" i="3"/>
  <c r="AA6" i="3" s="1"/>
  <c r="AH6" i="3" s="1"/>
  <c r="R12" i="3"/>
  <c r="Y12" i="3" s="1"/>
  <c r="AF12" i="3" s="1"/>
  <c r="S8" i="3"/>
  <c r="Z8" i="3" s="1"/>
  <c r="AG8" i="3" s="1"/>
  <c r="R11" i="3"/>
  <c r="Y11" i="3" s="1"/>
  <c r="AF11" i="3" s="1"/>
  <c r="S7" i="3"/>
  <c r="Z7" i="3" s="1"/>
  <c r="AG7" i="3" s="1"/>
  <c r="T11" i="3"/>
  <c r="AA11" i="3" s="1"/>
  <c r="AH11" i="3" s="1"/>
  <c r="T10" i="3"/>
  <c r="AA10" i="3" s="1"/>
  <c r="AH10" i="3" s="1"/>
  <c r="R15" i="3"/>
  <c r="Y15" i="3" s="1"/>
  <c r="AF15" i="3" s="1"/>
  <c r="T8" i="3"/>
  <c r="AA8" i="3" s="1"/>
  <c r="AH8" i="3" s="1"/>
  <c r="T7" i="3"/>
  <c r="AA7" i="3" s="1"/>
  <c r="AH7" i="3" s="1"/>
  <c r="R13" i="3"/>
  <c r="Y13" i="3" s="1"/>
  <c r="AF13" i="3" s="1"/>
  <c r="R10" i="3"/>
  <c r="Y10" i="3" s="1"/>
  <c r="AF10" i="3" s="1"/>
  <c r="S6" i="3"/>
  <c r="Z6" i="3" s="1"/>
  <c r="AG6" i="3" s="1"/>
  <c r="T14" i="3"/>
  <c r="AA14" i="3" s="1"/>
  <c r="AH14" i="3" s="1"/>
  <c r="T9" i="3"/>
  <c r="AA9" i="3" s="1"/>
  <c r="AH9" i="3" s="1"/>
  <c r="S9" i="3"/>
  <c r="Z9" i="3" s="1"/>
  <c r="AG9" i="3" s="1"/>
  <c r="R9" i="3"/>
  <c r="Y9" i="3" s="1"/>
  <c r="AF9" i="3" s="1"/>
  <c r="Q5" i="3"/>
  <c r="X5" i="3" s="1"/>
  <c r="AE5" i="3" s="1"/>
  <c r="P15" i="3"/>
  <c r="W15" i="3" s="1"/>
  <c r="AD15" i="3" s="1"/>
  <c r="P6" i="3"/>
  <c r="W6" i="3" s="1"/>
  <c r="AD6" i="3" s="1"/>
  <c r="P12" i="3"/>
  <c r="W12" i="3" s="1"/>
  <c r="AD12" i="3" s="1"/>
  <c r="P4" i="3"/>
  <c r="W4" i="3" s="1"/>
  <c r="AD4" i="3" s="1"/>
  <c r="P13" i="3"/>
  <c r="W13" i="3" s="1"/>
  <c r="AD13" i="3" s="1"/>
  <c r="P10" i="3"/>
  <c r="W10" i="3" s="1"/>
  <c r="AD10" i="3" s="1"/>
  <c r="P11" i="3"/>
  <c r="W11" i="3" s="1"/>
  <c r="AD11" i="3" s="1"/>
  <c r="P5" i="3"/>
  <c r="W5" i="3" s="1"/>
  <c r="AD5" i="3" s="1"/>
  <c r="P14" i="3"/>
  <c r="W14" i="3" s="1"/>
  <c r="AD14" i="3" s="1"/>
  <c r="P7" i="3"/>
  <c r="W7" i="3" s="1"/>
  <c r="AD7" i="3" s="1"/>
  <c r="P8" i="3"/>
  <c r="W8" i="3" s="1"/>
  <c r="AD8" i="3" s="1"/>
  <c r="P9" i="3"/>
  <c r="W9" i="3" s="1"/>
  <c r="AD9" i="3" s="1"/>
  <c r="Q4" i="3"/>
  <c r="X4" i="3" s="1"/>
  <c r="AE4" i="3" s="1"/>
  <c r="Q15" i="3"/>
  <c r="X15" i="3" s="1"/>
  <c r="AE15" i="3" s="1"/>
  <c r="Q14" i="3"/>
  <c r="X14" i="3" s="1"/>
  <c r="AE14" i="3" s="1"/>
  <c r="Q13" i="3"/>
  <c r="X13" i="3" s="1"/>
  <c r="AE13" i="3" s="1"/>
  <c r="Q12" i="3"/>
  <c r="X12" i="3" s="1"/>
  <c r="AE12" i="3" s="1"/>
  <c r="Q11" i="3"/>
  <c r="X11" i="3" s="1"/>
  <c r="AE11" i="3" s="1"/>
  <c r="L6" i="3"/>
  <c r="Q10" i="3"/>
  <c r="X10" i="3" s="1"/>
  <c r="AE10" i="3" s="1"/>
  <c r="Q9" i="3"/>
  <c r="X9" i="3" s="1"/>
  <c r="AE9" i="3" s="1"/>
  <c r="Q8" i="3"/>
  <c r="X8" i="3" s="1"/>
  <c r="AE8" i="3" s="1"/>
  <c r="Q7" i="3"/>
  <c r="X7" i="3" s="1"/>
  <c r="AE7" i="3" s="1"/>
  <c r="Q6" i="3"/>
  <c r="X6" i="3" s="1"/>
  <c r="AE6" i="3" s="1"/>
  <c r="K16" i="1"/>
  <c r="K14" i="1"/>
  <c r="K9" i="1"/>
  <c r="J6" i="1"/>
  <c r="K6" i="1" s="1"/>
  <c r="J11" i="1"/>
  <c r="K11" i="1" s="1"/>
  <c r="J5" i="1"/>
  <c r="K5" i="1" s="1"/>
  <c r="O17" i="1" s="1"/>
  <c r="D73" i="3" a="1"/>
  <c r="D71" i="3" a="1"/>
  <c r="D74" i="3" a="1"/>
  <c r="D76" i="3" a="1"/>
  <c r="D72" i="3" a="1"/>
  <c r="D75" i="3" a="1"/>
  <c r="D70" i="3" a="1"/>
  <c r="D70" i="3" l="1"/>
  <c r="L7" i="3"/>
  <c r="D57" i="5"/>
  <c r="D36" i="5"/>
  <c r="D42" i="5" s="1"/>
  <c r="D37" i="5"/>
  <c r="D76" i="3"/>
  <c r="D75" i="3"/>
  <c r="D74" i="3"/>
  <c r="D73" i="3"/>
  <c r="D72" i="3"/>
  <c r="D71" i="3"/>
  <c r="O6" i="1"/>
  <c r="K17" i="1"/>
  <c r="K18" i="1" s="1"/>
  <c r="O21" i="1"/>
  <c r="J8" i="1"/>
  <c r="O10" i="1"/>
  <c r="O13" i="1"/>
  <c r="O11" i="1"/>
  <c r="O4" i="1"/>
  <c r="O19" i="1"/>
  <c r="O8" i="1"/>
  <c r="O9" i="1"/>
  <c r="O12" i="1"/>
  <c r="O7" i="1"/>
  <c r="O15" i="1"/>
  <c r="O5" i="1"/>
  <c r="O16" i="1"/>
  <c r="O14" i="1"/>
  <c r="J17" i="1"/>
  <c r="O18" i="1"/>
  <c r="O20" i="1"/>
  <c r="C85" i="3" l="1"/>
  <c r="C80" i="3"/>
  <c r="C83" i="3"/>
  <c r="C82" i="3"/>
  <c r="C79" i="3"/>
  <c r="C84" i="3"/>
  <c r="C81" i="3"/>
  <c r="D80" i="3"/>
  <c r="D85" i="3"/>
  <c r="D82" i="3"/>
  <c r="D83" i="3"/>
  <c r="D81" i="3"/>
  <c r="D84" i="3"/>
  <c r="D79" i="3"/>
  <c r="E80" i="3"/>
  <c r="E82" i="3"/>
  <c r="E85" i="3"/>
  <c r="E84" i="3"/>
  <c r="E79" i="3"/>
  <c r="E83" i="3"/>
  <c r="E81" i="3"/>
  <c r="H82" i="3"/>
  <c r="H80" i="3"/>
  <c r="H84" i="3"/>
  <c r="H85" i="3"/>
  <c r="H83" i="3"/>
  <c r="H79" i="3"/>
  <c r="H81" i="3"/>
  <c r="I82" i="3"/>
  <c r="I84" i="3"/>
  <c r="I80" i="3"/>
  <c r="I85" i="3"/>
  <c r="I81" i="3"/>
  <c r="I83" i="3"/>
  <c r="I79" i="3"/>
  <c r="J84" i="3"/>
  <c r="J82" i="3"/>
  <c r="J80" i="3"/>
  <c r="J81" i="3"/>
  <c r="J85" i="3"/>
  <c r="J79" i="3"/>
  <c r="J83" i="3"/>
  <c r="B85" i="3"/>
  <c r="B83" i="3"/>
  <c r="B80" i="3"/>
  <c r="B79" i="3"/>
  <c r="B81" i="3"/>
  <c r="B84" i="3"/>
  <c r="B82" i="3"/>
  <c r="D38" i="5"/>
  <c r="D47" i="5"/>
  <c r="R13" i="1"/>
  <c r="S13" i="1" s="1"/>
  <c r="R9" i="1"/>
  <c r="S9" i="1" s="1"/>
  <c r="R14" i="1"/>
  <c r="S14" i="1" s="1"/>
  <c r="R15" i="1"/>
  <c r="S15" i="1" s="1"/>
  <c r="R16" i="1"/>
  <c r="S16" i="1" s="1"/>
  <c r="R17" i="1"/>
  <c r="S17" i="1" s="1"/>
  <c r="R11" i="1"/>
  <c r="S11" i="1" s="1"/>
  <c r="R12" i="1"/>
  <c r="S12" i="1" s="1"/>
  <c r="R18" i="1"/>
  <c r="S18" i="1" s="1"/>
  <c r="R20" i="1"/>
  <c r="S20" i="1" s="1"/>
  <c r="R21" i="1"/>
  <c r="S21" i="1" s="1"/>
  <c r="R7" i="1"/>
  <c r="S7" i="1" s="1"/>
  <c r="R19" i="1"/>
  <c r="S19" i="1" s="1"/>
  <c r="R5" i="1"/>
  <c r="S5" i="1" s="1"/>
  <c r="R6" i="1"/>
  <c r="S6" i="1" s="1"/>
  <c r="R4" i="1"/>
  <c r="S4" i="1" s="1"/>
  <c r="R8" i="1"/>
  <c r="S8" i="1" s="1"/>
  <c r="R10" i="1"/>
  <c r="S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<sst xmlns="http://schemas.openxmlformats.org/spreadsheetml/2006/main" count="552" uniqueCount="302">
  <si>
    <t>工程设计</t>
    <phoneticPr fontId="1" type="noConversion"/>
  </si>
  <si>
    <t>工时/h</t>
    <phoneticPr fontId="1" type="noConversion"/>
  </si>
  <si>
    <t>加工装备</t>
    <phoneticPr fontId="1" type="noConversion"/>
  </si>
  <si>
    <t>重量单位</t>
    <phoneticPr fontId="1" type="noConversion"/>
  </si>
  <si>
    <t>速度单位</t>
    <phoneticPr fontId="1" type="noConversion"/>
  </si>
  <si>
    <t>磅(lb)</t>
    <phoneticPr fontId="1" type="noConversion"/>
  </si>
  <si>
    <t>千克(Kg)</t>
    <phoneticPr fontId="1" type="noConversion"/>
  </si>
  <si>
    <t>米/秒(m/s)</t>
    <phoneticPr fontId="1" type="noConversion"/>
  </si>
  <si>
    <t xml:space="preserve">[1] </t>
    <phoneticPr fontId="1" type="noConversion"/>
  </si>
  <si>
    <t>对轻型运动飞机（LSA）为0.67,对按CFR第14卷第23部认证的飞机则为1；</t>
    <phoneticPr fontId="1" type="noConversion"/>
  </si>
  <si>
    <t>[2]</t>
  </si>
  <si>
    <t>[3]</t>
  </si>
  <si>
    <t>[4]</t>
  </si>
  <si>
    <t>[5]</t>
  </si>
  <si>
    <t>[6]</t>
  </si>
  <si>
    <t>复杂襟翼系统为1.03，简单襟翼系统为1；</t>
    <phoneticPr fontId="1" type="noConversion"/>
  </si>
  <si>
    <r>
      <t>为1+f</t>
    </r>
    <r>
      <rPr>
        <vertAlign val="subscript"/>
        <sz val="11"/>
        <color theme="1"/>
        <rFont val="等线"/>
        <family val="3"/>
        <charset val="134"/>
        <scheme val="minor"/>
      </rPr>
      <t>comp</t>
    </r>
    <r>
      <rPr>
        <sz val="11"/>
        <color theme="1"/>
        <rFont val="等线"/>
        <family val="2"/>
        <scheme val="minor"/>
      </rPr>
      <t>机身使用复合材料时的系数，fcomp-机身使用复合材料的比例（机身全部使用复合材料时为1);</t>
    </r>
    <phoneticPr fontId="1" type="noConversion"/>
  </si>
  <si>
    <t>使用增压系统的飞机为1.03，未使用的为1。</t>
    <phoneticPr fontId="1" type="noConversion"/>
  </si>
  <si>
    <t>N-5年内计算生产的飞机数量</t>
    <phoneticPr fontId="1" type="noConversion"/>
  </si>
  <si>
    <r>
      <t>V</t>
    </r>
    <r>
      <rPr>
        <vertAlign val="subscript"/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2"/>
        <scheme val="minor"/>
      </rPr>
      <t>最大水平空速/(m/s)</t>
    </r>
    <phoneticPr fontId="1" type="noConversion"/>
  </si>
  <si>
    <r>
      <t>W</t>
    </r>
    <r>
      <rPr>
        <vertAlign val="subscript"/>
        <sz val="11"/>
        <color theme="1"/>
        <rFont val="等线"/>
        <family val="3"/>
        <charset val="134"/>
        <scheme val="minor"/>
      </rPr>
      <t>airframe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2"/>
        <scheme val="minor"/>
      </rPr>
      <t>机身结构重量/Kg</t>
    </r>
    <phoneticPr fontId="1" type="noConversion"/>
  </si>
  <si>
    <r>
      <t>F</t>
    </r>
    <r>
      <rPr>
        <vertAlign val="subscript"/>
        <sz val="11"/>
        <color theme="1"/>
        <rFont val="等线"/>
        <family val="3"/>
        <charset val="134"/>
        <scheme val="minor"/>
      </rPr>
      <t>CERT</t>
    </r>
    <r>
      <rPr>
        <sz val="11"/>
        <color theme="1"/>
        <rFont val="等线"/>
        <family val="2"/>
        <scheme val="minor"/>
      </rPr>
      <t>适航系数</t>
    </r>
    <r>
      <rPr>
        <vertAlign val="superscript"/>
        <sz val="11"/>
        <color theme="1"/>
        <rFont val="等线"/>
        <family val="3"/>
        <charset val="134"/>
        <scheme val="minor"/>
      </rPr>
      <t>1</t>
    </r>
    <phoneticPr fontId="1" type="noConversion"/>
  </si>
  <si>
    <r>
      <t>F</t>
    </r>
    <r>
      <rPr>
        <vertAlign val="subscript"/>
        <sz val="11"/>
        <color theme="1"/>
        <rFont val="等线"/>
        <family val="3"/>
        <charset val="134"/>
        <scheme val="minor"/>
      </rPr>
      <t>CF</t>
    </r>
    <r>
      <rPr>
        <sz val="11"/>
        <color theme="1"/>
        <rFont val="等线"/>
        <family val="2"/>
        <scheme val="minor"/>
      </rPr>
      <t>复杂襟翼系数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</si>
  <si>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r>
      <t>F</t>
    </r>
    <r>
      <rPr>
        <vertAlign val="subscript"/>
        <sz val="11"/>
        <color theme="1"/>
        <rFont val="等线"/>
        <family val="3"/>
        <charset val="134"/>
        <scheme val="minor"/>
      </rPr>
      <t>COMP</t>
    </r>
    <r>
      <rPr>
        <sz val="11"/>
        <color theme="1"/>
        <rFont val="等线"/>
        <family val="2"/>
        <scheme val="minor"/>
      </rPr>
      <t>复合材料系数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</si>
  <si>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r>
      <t>F</t>
    </r>
    <r>
      <rPr>
        <vertAlign val="subscript"/>
        <sz val="11"/>
        <color theme="1"/>
        <rFont val="等线"/>
        <family val="3"/>
        <charset val="134"/>
        <scheme val="minor"/>
      </rPr>
      <t>PRESS</t>
    </r>
    <r>
      <rPr>
        <sz val="11"/>
        <color theme="1"/>
        <rFont val="等线"/>
        <family val="2"/>
        <scheme val="minor"/>
      </rPr>
      <t>增压系数</t>
    </r>
    <r>
      <rPr>
        <vertAlign val="superscript"/>
        <sz val="11"/>
        <color theme="1"/>
        <rFont val="等线"/>
        <family val="3"/>
        <charset val="134"/>
        <scheme val="minor"/>
      </rPr>
      <t>4</t>
    </r>
    <phoneticPr fontId="1" type="noConversion"/>
  </si>
  <si>
    <t>项目成本分析</t>
    <phoneticPr fontId="1" type="noConversion"/>
  </si>
  <si>
    <t>费率（元/h）</t>
    <phoneticPr fontId="1" type="noConversion"/>
  </si>
  <si>
    <t>总成本/元</t>
    <phoneticPr fontId="1" type="noConversion"/>
  </si>
  <si>
    <t>单位成本/元</t>
    <phoneticPr fontId="1" type="noConversion"/>
  </si>
  <si>
    <t>阶段</t>
    <phoneticPr fontId="1" type="noConversion"/>
  </si>
  <si>
    <t>序号</t>
    <phoneticPr fontId="1" type="noConversion"/>
  </si>
  <si>
    <t>输入参数</t>
    <phoneticPr fontId="1" type="noConversion"/>
  </si>
  <si>
    <t>数值</t>
    <phoneticPr fontId="1" type="noConversion"/>
  </si>
  <si>
    <t>飞行试验</t>
    <phoneticPr fontId="1" type="noConversion"/>
  </si>
  <si>
    <t>开发支持</t>
    <phoneticPr fontId="1" type="noConversion"/>
  </si>
  <si>
    <t>生产劳动</t>
    <phoneticPr fontId="1" type="noConversion"/>
  </si>
  <si>
    <t>质量控制</t>
    <phoneticPr fontId="1" type="noConversion"/>
  </si>
  <si>
    <t>材料/设备</t>
    <phoneticPr fontId="1" type="noConversion"/>
  </si>
  <si>
    <t>数量折扣系数</t>
    <phoneticPr fontId="1" type="noConversion"/>
  </si>
  <si>
    <t>航电设备</t>
    <phoneticPr fontId="1" type="noConversion"/>
  </si>
  <si>
    <t>生产总成本</t>
    <phoneticPr fontId="1" type="noConversion"/>
  </si>
  <si>
    <t>最低售价</t>
    <phoneticPr fontId="1" type="noConversion"/>
  </si>
  <si>
    <r>
      <t>Q</t>
    </r>
    <r>
      <rPr>
        <vertAlign val="subscript"/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scheme val="minor"/>
      </rPr>
      <t>飞机月产量</t>
    </r>
    <phoneticPr fontId="1" type="noConversion"/>
  </si>
  <si>
    <r>
      <t>F</t>
    </r>
    <r>
      <rPr>
        <vertAlign val="subscript"/>
        <sz val="11"/>
        <color theme="1"/>
        <rFont val="等线"/>
        <family val="3"/>
        <charset val="134"/>
        <scheme val="minor"/>
      </rPr>
      <t>TAPER</t>
    </r>
    <r>
      <rPr>
        <sz val="11"/>
        <color theme="1"/>
        <rFont val="等线"/>
        <family val="2"/>
        <scheme val="minor"/>
      </rPr>
      <t>等弦长机翼为0.95，梯形机翼为1</t>
    </r>
    <phoneticPr fontId="1" type="noConversion"/>
  </si>
  <si>
    <r>
      <t>CPI</t>
    </r>
    <r>
      <rPr>
        <vertAlign val="subscript"/>
        <sz val="11"/>
        <color theme="1"/>
        <rFont val="等线"/>
        <family val="3"/>
        <charset val="134"/>
        <scheme val="minor"/>
      </rPr>
      <t>2022</t>
    </r>
    <phoneticPr fontId="1" type="noConversion"/>
  </si>
  <si>
    <t>换算数值</t>
    <phoneticPr fontId="1" type="noConversion"/>
  </si>
  <si>
    <t>单位</t>
    <phoneticPr fontId="1" type="noConversion"/>
  </si>
  <si>
    <t>-</t>
    <phoneticPr fontId="1" type="noConversion"/>
  </si>
  <si>
    <t>节(kn)</t>
    <phoneticPr fontId="1" type="noConversion"/>
  </si>
  <si>
    <r>
      <t>N</t>
    </r>
    <r>
      <rPr>
        <vertAlign val="subscript"/>
        <sz val="11"/>
        <color theme="1"/>
        <rFont val="等线"/>
        <family val="3"/>
        <charset val="134"/>
        <scheme val="minor"/>
      </rPr>
      <t>p</t>
    </r>
    <r>
      <rPr>
        <sz val="11"/>
        <color theme="1"/>
        <rFont val="等线"/>
        <family val="2"/>
        <scheme val="minor"/>
      </rPr>
      <t>计划生产原产机数量</t>
    </r>
    <phoneticPr fontId="1" type="noConversion"/>
  </si>
  <si>
    <t>对轻型运动飞机（LSA）为10,对按CFR第14卷第23部认证的飞机则为1；</t>
    <phoneticPr fontId="1" type="noConversion"/>
  </si>
  <si>
    <t>发射/回收装置</t>
    <phoneticPr fontId="1" type="noConversion"/>
  </si>
  <si>
    <r>
      <t>N</t>
    </r>
    <r>
      <rPr>
        <vertAlign val="subscript"/>
        <sz val="11"/>
        <color theme="1"/>
        <rFont val="等线"/>
        <family val="3"/>
        <charset val="134"/>
        <scheme val="minor"/>
      </rPr>
      <t>pp</t>
    </r>
    <r>
      <rPr>
        <sz val="11"/>
        <color theme="1"/>
        <rFont val="等线"/>
        <family val="2"/>
        <scheme val="minor"/>
      </rPr>
      <t>发动机数量</t>
    </r>
    <phoneticPr fontId="1" type="noConversion"/>
  </si>
  <si>
    <r>
      <t>P</t>
    </r>
    <r>
      <rPr>
        <vertAlign val="subscript"/>
        <sz val="11"/>
        <color theme="1"/>
        <rFont val="等线"/>
        <family val="3"/>
        <charset val="134"/>
        <scheme val="minor"/>
      </rPr>
      <t>BHP</t>
    </r>
    <r>
      <rPr>
        <sz val="11"/>
        <color theme="1"/>
        <rFont val="等线"/>
        <family val="2"/>
        <scheme val="minor"/>
      </rPr>
      <t>发动机马力</t>
    </r>
    <phoneticPr fontId="1" type="noConversion"/>
  </si>
  <si>
    <t>动力系统</t>
    <phoneticPr fontId="1" type="noConversion"/>
  </si>
  <si>
    <t>无折扣</t>
    <phoneticPr fontId="1" type="noConversion"/>
  </si>
  <si>
    <t>有折扣</t>
    <phoneticPr fontId="1" type="noConversion"/>
  </si>
  <si>
    <t>销售价格与产量关系</t>
    <phoneticPr fontId="1" type="noConversion"/>
  </si>
  <si>
    <t>产量</t>
    <phoneticPr fontId="1" type="noConversion"/>
  </si>
  <si>
    <t>价格</t>
    <phoneticPr fontId="1" type="noConversion"/>
  </si>
  <si>
    <t>折扣</t>
    <phoneticPr fontId="1" type="noConversion"/>
  </si>
  <si>
    <t>总固定成本</t>
    <phoneticPr fontId="1" type="noConversion"/>
  </si>
  <si>
    <t>盈亏平衡分析</t>
    <phoneticPr fontId="1" type="noConversion"/>
  </si>
  <si>
    <t>固定成本</t>
    <phoneticPr fontId="1" type="noConversion"/>
  </si>
  <si>
    <t>固定成本+可变成本</t>
    <phoneticPr fontId="1" type="noConversion"/>
  </si>
  <si>
    <t>收益（售价为20万）</t>
    <phoneticPr fontId="1" type="noConversion"/>
  </si>
  <si>
    <t>收益（售价为25万）</t>
    <phoneticPr fontId="1" type="noConversion"/>
  </si>
  <si>
    <t>收益（售价为30万）</t>
    <phoneticPr fontId="1" type="noConversion"/>
  </si>
  <si>
    <t>z</t>
    <phoneticPr fontId="1" type="noConversion"/>
  </si>
  <si>
    <t>基于DAPCA-Ⅳ的模型--飞机费用分析</t>
    <phoneticPr fontId="1" type="noConversion"/>
  </si>
  <si>
    <t>kg</t>
    <phoneticPr fontId="1" type="noConversion"/>
  </si>
  <si>
    <t>长度单位</t>
    <phoneticPr fontId="1" type="noConversion"/>
  </si>
  <si>
    <t>米(m)</t>
    <phoneticPr fontId="1" type="noConversion"/>
  </si>
  <si>
    <t>英尺(ft)</t>
    <phoneticPr fontId="1" type="noConversion"/>
  </si>
  <si>
    <t>FPM</t>
    <phoneticPr fontId="1" type="noConversion"/>
  </si>
  <si>
    <t>节(kn)/(KTAS)</t>
    <phoneticPr fontId="1" type="noConversion"/>
  </si>
  <si>
    <t>飞行高度</t>
    <phoneticPr fontId="1" type="noConversion"/>
  </si>
  <si>
    <t>过载</t>
    <phoneticPr fontId="1" type="noConversion"/>
  </si>
  <si>
    <t>爬行率</t>
    <phoneticPr fontId="1" type="noConversion"/>
  </si>
  <si>
    <t>设计总重</t>
    <phoneticPr fontId="1" type="noConversion"/>
  </si>
  <si>
    <t>飞行速度</t>
    <phoneticPr fontId="1" type="noConversion"/>
  </si>
  <si>
    <t>节(Kn)</t>
    <phoneticPr fontId="1" type="noConversion"/>
  </si>
  <si>
    <t>巡航速度</t>
    <phoneticPr fontId="1" type="noConversion"/>
  </si>
  <si>
    <t>实用升限</t>
  </si>
  <si>
    <t>米/秒(m/s)</t>
  </si>
  <si>
    <t>起飞速度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</si>
  <si>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Dmin</t>
    </r>
    <r>
      <rPr>
        <sz val="11"/>
        <color theme="1"/>
        <rFont val="等线"/>
        <family val="2"/>
        <scheme val="minor"/>
      </rPr>
      <t>最小阻力系数</t>
    </r>
    <phoneticPr fontId="1" type="noConversion"/>
  </si>
  <si>
    <t>e翼展效率</t>
    <phoneticPr fontId="1" type="noConversion"/>
  </si>
  <si>
    <t>AR -展弦比</t>
    <phoneticPr fontId="1" type="noConversion"/>
  </si>
  <si>
    <t>k诱导阻力常数</t>
    <phoneticPr fontId="1" type="noConversion"/>
  </si>
  <si>
    <t>转换数值</t>
    <phoneticPr fontId="1" type="noConversion"/>
  </si>
  <si>
    <r>
      <t>slug/ft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</si>
  <si>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t>压强单位</t>
    <phoneticPr fontId="1" type="noConversion"/>
  </si>
  <si>
    <t>密度单位</t>
    <phoneticPr fontId="1" type="noConversion"/>
  </si>
  <si>
    <r>
      <t>Kg/m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</si>
  <si>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r>
      <t>lbf/ft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</si>
  <si>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r>
      <t>N/m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</si>
  <si>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r>
      <t>翼载荷W/S(lbf/ft</t>
    </r>
    <r>
      <rPr>
        <b/>
        <vertAlign val="superscript"/>
        <sz val="14"/>
        <color theme="1"/>
        <rFont val="等线"/>
        <family val="3"/>
        <charset val="134"/>
        <scheme val="minor"/>
      </rPr>
      <t>2</t>
    </r>
    <r>
      <rPr>
        <b/>
        <sz val="14"/>
        <color theme="1"/>
        <rFont val="等线"/>
        <family val="3"/>
        <charset val="134"/>
        <scheme val="minor"/>
      </rPr>
      <t>)</t>
    </r>
    <phoneticPr fontId="1" type="noConversion"/>
  </si>
  <si>
    <t>推重比T/W</t>
  </si>
  <si>
    <t>中间参数</t>
    <phoneticPr fontId="1" type="noConversion"/>
  </si>
  <si>
    <t>英尺/秒(ft/s)</t>
    <phoneticPr fontId="1" type="noConversion"/>
  </si>
  <si>
    <t>8000ft空气密度</t>
    <phoneticPr fontId="1" type="noConversion"/>
  </si>
  <si>
    <t>高度/ft</t>
    <phoneticPr fontId="1" type="noConversion"/>
  </si>
  <si>
    <r>
      <t>大气密度(slug/ft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2"/>
        <scheme val="minor"/>
      </rPr>
      <t>)</t>
    </r>
    <phoneticPr fontId="1" type="noConversion"/>
  </si>
  <si>
    <t>高度/m</t>
    <phoneticPr fontId="1" type="noConversion"/>
  </si>
  <si>
    <r>
      <t>大气密度(Kg/m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2"/>
        <scheme val="minor"/>
      </rPr>
      <t>)</t>
    </r>
    <phoneticPr fontId="1" type="noConversion"/>
  </si>
  <si>
    <t>ft/s</t>
    <phoneticPr fontId="1" type="noConversion"/>
  </si>
  <si>
    <t>转弯需求</t>
    <phoneticPr fontId="1" type="noConversion"/>
  </si>
  <si>
    <t>爬升需求</t>
    <phoneticPr fontId="1" type="noConversion"/>
  </si>
  <si>
    <t>爬升需求动压</t>
    <phoneticPr fontId="1" type="noConversion"/>
  </si>
  <si>
    <t>爬升需求ROC</t>
    <phoneticPr fontId="1" type="noConversion"/>
  </si>
  <si>
    <t>爬升需求飞行速度</t>
    <phoneticPr fontId="1" type="noConversion"/>
  </si>
  <si>
    <t>起飞需求</t>
    <phoneticPr fontId="1" type="noConversion"/>
  </si>
  <si>
    <t>空速需求</t>
    <phoneticPr fontId="1" type="noConversion"/>
  </si>
  <si>
    <t>升限需求</t>
    <phoneticPr fontId="1" type="noConversion"/>
  </si>
  <si>
    <t>实用升限需求</t>
    <phoneticPr fontId="1" type="noConversion"/>
  </si>
  <si>
    <t>起飞需求起飞速度</t>
    <phoneticPr fontId="1" type="noConversion"/>
  </si>
  <si>
    <t>起飞需求动压</t>
    <phoneticPr fontId="1" type="noConversion"/>
  </si>
  <si>
    <t>μ地面摩擦系数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</si>
  <si>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LTO</t>
    </r>
    <r>
      <rPr>
        <sz val="11"/>
        <color theme="1"/>
        <rFont val="等线"/>
        <family val="2"/>
        <scheme val="minor"/>
      </rPr>
      <t>升力系数</t>
    </r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</si>
  <si>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DTO</t>
    </r>
    <r>
      <rPr>
        <sz val="11"/>
        <color theme="1"/>
        <rFont val="等线"/>
        <family val="2"/>
        <scheme val="minor"/>
      </rPr>
      <t>阻力系数</t>
    </r>
    <phoneticPr fontId="1" type="noConversion"/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</si>
  <si>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G</t>
    </r>
    <r>
      <rPr>
        <sz val="11"/>
        <color theme="1"/>
        <rFont val="等线"/>
        <family val="2"/>
        <scheme val="minor"/>
      </rPr>
      <t>滑跑距离</t>
    </r>
    <phoneticPr fontId="1" type="noConversion"/>
  </si>
  <si>
    <t>8000ft动压</t>
    <phoneticPr fontId="1" type="noConversion"/>
  </si>
  <si>
    <t>20000ft空气密度</t>
    <phoneticPr fontId="1" type="noConversion"/>
  </si>
  <si>
    <t>发动机推力（BHP)</t>
    <phoneticPr fontId="1" type="noConversion"/>
  </si>
  <si>
    <t>0ft空气密度</t>
    <phoneticPr fontId="1" type="noConversion"/>
  </si>
  <si>
    <t>45KCAS</t>
    <phoneticPr fontId="1" type="noConversion"/>
  </si>
  <si>
    <t>50KCAS</t>
    <phoneticPr fontId="1" type="noConversion"/>
  </si>
  <si>
    <t>55KCAS</t>
  </si>
  <si>
    <t>60KCAS</t>
  </si>
  <si>
    <t>65KCAS</t>
  </si>
  <si>
    <t>70KCAS</t>
  </si>
  <si>
    <t>61KCAS</t>
    <phoneticPr fontId="1" type="noConversion"/>
  </si>
  <si>
    <t>一、约束分析</t>
    <phoneticPr fontId="1" type="noConversion"/>
  </si>
  <si>
    <t>二、求解失速速度-巡航速度毯式图</t>
    <phoneticPr fontId="1" type="noConversion"/>
  </si>
  <si>
    <t>参数</t>
    <phoneticPr fontId="1" type="noConversion"/>
  </si>
  <si>
    <t>符号</t>
    <phoneticPr fontId="1" type="noConversion"/>
  </si>
  <si>
    <t>期望的失速速度</t>
    <phoneticPr fontId="1" type="noConversion"/>
  </si>
  <si>
    <t>KCAS</t>
    <phoneticPr fontId="1" type="noConversion"/>
  </si>
  <si>
    <t>期望的巡航速度</t>
    <phoneticPr fontId="1" type="noConversion"/>
  </si>
  <si>
    <t>期望的巡航高度</t>
    <phoneticPr fontId="1" type="noConversion"/>
  </si>
  <si>
    <t>总重量目标</t>
    <phoneticPr fontId="1" type="noConversion"/>
  </si>
  <si>
    <t>期望的最小阻力系数</t>
    <phoneticPr fontId="1" type="noConversion"/>
  </si>
  <si>
    <t>期望的展弦比（用于估算e）</t>
    <phoneticPr fontId="1" type="noConversion"/>
  </si>
  <si>
    <t>期望的根稍比（用于估算e）</t>
    <phoneticPr fontId="1" type="noConversion"/>
  </si>
  <si>
    <t>螺旋桨飞机的额定功率</t>
    <phoneticPr fontId="1" type="noConversion"/>
  </si>
  <si>
    <t>H</t>
    <phoneticPr fontId="1" type="noConversion"/>
  </si>
  <si>
    <t>W</t>
    <phoneticPr fontId="1" type="noConversion"/>
  </si>
  <si>
    <t>AR</t>
    <phoneticPr fontId="1" type="noConversion"/>
  </si>
  <si>
    <t>λ</t>
    <phoneticPr fontId="1" type="noConversion"/>
  </si>
  <si>
    <r>
      <t>V</t>
    </r>
    <r>
      <rPr>
        <i/>
        <vertAlign val="subscript"/>
        <sz val="11"/>
        <color theme="1"/>
        <rFont val="等线"/>
        <family val="3"/>
        <charset val="134"/>
        <scheme val="minor"/>
      </rPr>
      <t>S</t>
    </r>
    <phoneticPr fontId="1" type="noConversion"/>
  </si>
  <si>
    <r>
      <t>V</t>
    </r>
    <r>
      <rPr>
        <i/>
        <vertAlign val="subscript"/>
        <sz val="11"/>
        <color theme="1"/>
        <rFont val="等线"/>
        <family val="3"/>
        <charset val="134"/>
        <scheme val="minor"/>
      </rPr>
      <t>CRU</t>
    </r>
    <phoneticPr fontId="1" type="noConversion"/>
  </si>
  <si>
    <r>
      <t>C</t>
    </r>
    <r>
      <rPr>
        <i/>
        <vertAlign val="subscript"/>
        <sz val="11"/>
        <color theme="1"/>
        <rFont val="等线"/>
        <family val="3"/>
        <charset val="134"/>
        <scheme val="minor"/>
      </rPr>
      <t>Dmin</t>
    </r>
    <phoneticPr fontId="1" type="noConversion"/>
  </si>
  <si>
    <r>
      <t>P</t>
    </r>
    <r>
      <rPr>
        <i/>
        <vertAlign val="subscript"/>
        <sz val="11"/>
        <color theme="1"/>
        <rFont val="等线"/>
        <family val="3"/>
        <charset val="134"/>
        <scheme val="minor"/>
      </rPr>
      <t>0</t>
    </r>
    <phoneticPr fontId="1" type="noConversion"/>
  </si>
  <si>
    <t>ft</t>
    <phoneticPr fontId="1" type="noConversion"/>
  </si>
  <si>
    <t>lbf</t>
    <phoneticPr fontId="1" type="noConversion"/>
  </si>
  <si>
    <t>BHP</t>
    <phoneticPr fontId="1" type="noConversion"/>
  </si>
  <si>
    <t>第1步：列出初始数据</t>
    <phoneticPr fontId="1" type="noConversion"/>
  </si>
  <si>
    <t>第2步：确定绘制范围</t>
    <phoneticPr fontId="1" type="noConversion"/>
  </si>
  <si>
    <r>
      <t>确定计算所用最大升力系数C</t>
    </r>
    <r>
      <rPr>
        <vertAlign val="subscript"/>
        <sz val="11"/>
        <color theme="1"/>
        <rFont val="等线"/>
        <family val="3"/>
        <charset val="134"/>
        <scheme val="minor"/>
      </rPr>
      <t>Lmax</t>
    </r>
    <r>
      <rPr>
        <sz val="11"/>
        <color theme="1"/>
        <rFont val="等线"/>
        <family val="3"/>
        <charset val="134"/>
        <scheme val="minor"/>
      </rPr>
      <t>的范围和步数。这里取1.7≤C</t>
    </r>
    <r>
      <rPr>
        <vertAlign val="subscript"/>
        <sz val="11"/>
        <color theme="1"/>
        <rFont val="等线"/>
        <family val="3"/>
        <charset val="134"/>
        <scheme val="minor"/>
      </rPr>
      <t>Lmax</t>
    </r>
    <r>
      <rPr>
        <sz val="11"/>
        <color theme="1"/>
        <rFont val="等线"/>
        <family val="3"/>
        <charset val="134"/>
        <scheme val="minor"/>
      </rPr>
      <t>≤2.3，并取7步，则每步大小为0.1。</t>
    </r>
    <phoneticPr fontId="1" type="noConversion"/>
  </si>
  <si>
    <r>
      <t>使用与C</t>
    </r>
    <r>
      <rPr>
        <vertAlign val="subscript"/>
        <sz val="11"/>
        <color theme="1"/>
        <rFont val="等线"/>
        <family val="3"/>
        <charset val="134"/>
        <scheme val="minor"/>
      </rPr>
      <t>Lmax</t>
    </r>
    <r>
      <rPr>
        <sz val="11"/>
        <color theme="1"/>
        <rFont val="等线"/>
        <family val="3"/>
        <charset val="134"/>
        <scheme val="minor"/>
      </rPr>
      <t>相同的步数，确定机翼面积S的范围。类似地，选取120≤S≤180ft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3"/>
        <charset val="134"/>
        <scheme val="minor"/>
      </rPr>
      <t>，同样取7步，每步大小为10ft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</si>
  <si>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t>第3步：确定绘制范围</t>
    <phoneticPr fontId="1" type="noConversion"/>
  </si>
  <si>
    <t>奥斯瓦尔德翼展效率</t>
    <phoneticPr fontId="1" type="noConversion"/>
  </si>
  <si>
    <t>8000ft高度时的最大功率</t>
    <phoneticPr fontId="1" type="noConversion"/>
  </si>
  <si>
    <t>ρ</t>
  </si>
  <si>
    <t>ρ</t>
    <phoneticPr fontId="1" type="noConversion"/>
  </si>
  <si>
    <t>e</t>
    <phoneticPr fontId="1" type="noConversion"/>
  </si>
  <si>
    <r>
      <t>第4步：根据C</t>
    </r>
    <r>
      <rPr>
        <b/>
        <vertAlign val="subscript"/>
        <sz val="18"/>
        <color theme="1"/>
        <rFont val="等线"/>
        <family val="3"/>
        <charset val="134"/>
        <scheme val="minor"/>
      </rPr>
      <t>Lmax</t>
    </r>
    <r>
      <rPr>
        <b/>
        <sz val="18"/>
        <color theme="1"/>
        <rFont val="等线"/>
        <family val="3"/>
        <charset val="134"/>
        <scheme val="minor"/>
      </rPr>
      <t>和机翼面积计算失速速度，并制表</t>
    </r>
    <phoneticPr fontId="1" type="noConversion"/>
  </si>
  <si>
    <t>失速速度/KCAS</t>
    <phoneticPr fontId="1" type="noConversion"/>
  </si>
  <si>
    <r>
      <t>机翼面积/ft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</si>
  <si>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t>最
大
升
力
系
数</t>
    <phoneticPr fontId="1" type="noConversion"/>
  </si>
  <si>
    <t>8000ft密度</t>
    <phoneticPr fontId="1" type="noConversion"/>
  </si>
  <si>
    <t>海平面大气密度</t>
    <phoneticPr fontId="1" type="noConversion"/>
  </si>
  <si>
    <r>
      <rPr>
        <i/>
        <sz val="11"/>
        <color theme="1"/>
        <rFont val="等线"/>
        <family val="3"/>
        <charset val="134"/>
        <scheme val="minor"/>
      </rPr>
      <t>V</t>
    </r>
    <r>
      <rPr>
        <vertAlign val="subscript"/>
        <sz val="11"/>
        <color theme="1"/>
        <rFont val="等线"/>
        <family val="3"/>
        <charset val="134"/>
        <scheme val="minor"/>
      </rPr>
      <t>max</t>
    </r>
    <r>
      <rPr>
        <sz val="11"/>
        <color theme="1"/>
        <rFont val="等线"/>
        <family val="2"/>
        <scheme val="minor"/>
      </rPr>
      <t>/KTAS</t>
    </r>
    <phoneticPr fontId="1" type="noConversion"/>
  </si>
  <si>
    <r>
      <rPr>
        <i/>
        <sz val="11"/>
        <color theme="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/KTAS</t>
    </r>
    <phoneticPr fontId="1" type="noConversion"/>
  </si>
  <si>
    <r>
      <rPr>
        <i/>
        <sz val="11"/>
        <color theme="1"/>
        <rFont val="Segoe UI"/>
        <family val="2"/>
        <charset val="238"/>
      </rPr>
      <t>ŋ</t>
    </r>
    <r>
      <rPr>
        <vertAlign val="subscript"/>
        <sz val="11"/>
        <color theme="1"/>
        <rFont val="Segoe UI"/>
        <family val="2"/>
        <charset val="238"/>
      </rPr>
      <t>P</t>
    </r>
    <phoneticPr fontId="1" type="noConversion"/>
  </si>
  <si>
    <r>
      <rPr>
        <i/>
        <sz val="11"/>
        <color theme="1"/>
        <rFont val="等线"/>
        <family val="3"/>
        <charset val="134"/>
        <scheme val="minor"/>
      </rPr>
      <t>S</t>
    </r>
    <r>
      <rPr>
        <sz val="11"/>
        <color theme="1"/>
        <rFont val="等线"/>
        <family val="2"/>
        <scheme val="minor"/>
      </rPr>
      <t>/ft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</si>
  <si>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t>英寸(in)</t>
    <phoneticPr fontId="1" type="noConversion"/>
  </si>
  <si>
    <r>
      <rPr>
        <i/>
        <sz val="11"/>
        <color theme="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/(ft/s)</t>
    </r>
    <phoneticPr fontId="1" type="noConversion"/>
  </si>
  <si>
    <t>诱导阻力常数</t>
    <phoneticPr fontId="1" type="noConversion"/>
  </si>
  <si>
    <t>k</t>
  </si>
  <si>
    <t>螺旋桨直径</t>
    <phoneticPr fontId="1" type="noConversion"/>
  </si>
  <si>
    <t>第5步：根据机翼面积计算最大空速，并制表</t>
    <phoneticPr fontId="1" type="noConversion"/>
  </si>
  <si>
    <t>第6步：制作最大空速表格，为绘图做准备</t>
    <phoneticPr fontId="1" type="noConversion"/>
  </si>
  <si>
    <r>
      <t>S/ft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</si>
  <si>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r>
      <t>V</t>
    </r>
    <r>
      <rPr>
        <vertAlign val="subscript"/>
        <sz val="11"/>
        <color theme="1"/>
        <rFont val="等线"/>
        <family val="3"/>
        <charset val="134"/>
        <scheme val="minor"/>
      </rPr>
      <t>max</t>
    </r>
    <r>
      <rPr>
        <sz val="11"/>
        <color theme="1"/>
        <rFont val="等线"/>
        <family val="2"/>
        <scheme val="minor"/>
      </rPr>
      <t>/KTAS</t>
    </r>
    <phoneticPr fontId="1" type="noConversion"/>
  </si>
  <si>
    <t>第7步：绘制毯式图</t>
    <phoneticPr fontId="1" type="noConversion"/>
  </si>
  <si>
    <t>psi</t>
    <phoneticPr fontId="1" type="noConversion"/>
  </si>
  <si>
    <t>MPa</t>
  </si>
  <si>
    <t>MPa</t>
    <phoneticPr fontId="1" type="noConversion"/>
  </si>
  <si>
    <r>
      <t>lbf/in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</si>
  <si>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r>
      <t>g/cm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</si>
  <si>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t>ksi</t>
    <phoneticPr fontId="1" type="noConversion"/>
  </si>
  <si>
    <t>机翼展弦比</t>
    <phoneticPr fontId="1" type="noConversion"/>
  </si>
  <si>
    <t>表示</t>
    <phoneticPr fontId="1" type="noConversion"/>
  </si>
  <si>
    <t>A</t>
  </si>
  <si>
    <t>最大过载</t>
    <phoneticPr fontId="1" type="noConversion"/>
  </si>
  <si>
    <r>
      <t>N</t>
    </r>
    <r>
      <rPr>
        <vertAlign val="subscript"/>
        <sz val="11"/>
        <color theme="1"/>
        <rFont val="等线"/>
        <family val="3"/>
        <charset val="134"/>
        <scheme val="minor"/>
      </rPr>
      <t>Z</t>
    </r>
    <phoneticPr fontId="1" type="noConversion"/>
  </si>
  <si>
    <t>Q</t>
    <phoneticPr fontId="1" type="noConversion"/>
  </si>
  <si>
    <t>巡航时的动压</t>
    <phoneticPr fontId="1" type="noConversion"/>
  </si>
  <si>
    <t>梯形机翼面积</t>
    <phoneticPr fontId="1" type="noConversion"/>
  </si>
  <si>
    <r>
      <t>S</t>
    </r>
    <r>
      <rPr>
        <vertAlign val="subscript"/>
        <sz val="11"/>
        <color theme="1"/>
        <rFont val="等线"/>
        <family val="3"/>
        <charset val="134"/>
        <scheme val="minor"/>
      </rPr>
      <t>W</t>
    </r>
    <phoneticPr fontId="1" type="noConversion"/>
  </si>
  <si>
    <t>机翼相对厚度</t>
    <phoneticPr fontId="1" type="noConversion"/>
  </si>
  <si>
    <t>t/c</t>
    <phoneticPr fontId="1" type="noConversion"/>
  </si>
  <si>
    <r>
      <t>W</t>
    </r>
    <r>
      <rPr>
        <vertAlign val="subscript"/>
        <sz val="11"/>
        <color theme="1"/>
        <rFont val="等线"/>
        <family val="3"/>
        <charset val="134"/>
        <scheme val="minor"/>
      </rPr>
      <t>dg</t>
    </r>
    <phoneticPr fontId="1" type="noConversion"/>
  </si>
  <si>
    <t>机翼中的燃油重量</t>
    <phoneticPr fontId="1" type="noConversion"/>
  </si>
  <si>
    <r>
      <t>W</t>
    </r>
    <r>
      <rPr>
        <vertAlign val="subscript"/>
        <sz val="11"/>
        <color theme="1"/>
        <rFont val="等线"/>
        <family val="3"/>
        <charset val="134"/>
        <scheme val="minor"/>
      </rPr>
      <t>fw</t>
    </r>
    <phoneticPr fontId="1" type="noConversion"/>
  </si>
  <si>
    <t>机翼根稍比</t>
    <phoneticPr fontId="1" type="noConversion"/>
  </si>
  <si>
    <t>机翼25%MAC处后掠角</t>
    <phoneticPr fontId="1" type="noConversion"/>
  </si>
  <si>
    <t>Λ</t>
    <phoneticPr fontId="1" type="noConversion"/>
  </si>
  <si>
    <r>
      <t>ft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</si>
  <si>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t>°</t>
    <phoneticPr fontId="1" type="noConversion"/>
  </si>
  <si>
    <t>雷默法</t>
    <phoneticPr fontId="1" type="noConversion"/>
  </si>
  <si>
    <t>机翼重量</t>
    <phoneticPr fontId="1" type="noConversion"/>
  </si>
  <si>
    <t>项目</t>
    <phoneticPr fontId="1" type="noConversion"/>
  </si>
  <si>
    <t>机翼重量计算--雷默法</t>
    <phoneticPr fontId="1" type="noConversion"/>
  </si>
  <si>
    <t>翼型俯仰力矩</t>
    <phoneticPr fontId="1" type="noConversion"/>
  </si>
  <si>
    <r>
      <t>C</t>
    </r>
    <r>
      <rPr>
        <vertAlign val="subscript"/>
        <sz val="11"/>
        <color theme="1"/>
        <rFont val="等线"/>
        <family val="3"/>
        <charset val="134"/>
        <scheme val="minor"/>
      </rPr>
      <t>m</t>
    </r>
    <phoneticPr fontId="1" type="noConversion"/>
  </si>
  <si>
    <t>俯冲速度</t>
    <phoneticPr fontId="1" type="noConversion"/>
  </si>
  <si>
    <r>
      <t>V</t>
    </r>
    <r>
      <rPr>
        <vertAlign val="subscript"/>
        <sz val="11"/>
        <color theme="1"/>
        <rFont val="等线"/>
        <family val="3"/>
        <charset val="134"/>
        <scheme val="minor"/>
      </rPr>
      <t>D</t>
    </r>
    <phoneticPr fontId="1" type="noConversion"/>
  </si>
  <si>
    <t>主翼面弦长占机翼弦长百分比</t>
    <phoneticPr fontId="1" type="noConversion"/>
  </si>
  <si>
    <t>%</t>
    <phoneticPr fontId="1" type="noConversion"/>
  </si>
  <si>
    <t>最大抗剪强度</t>
    <phoneticPr fontId="1" type="noConversion"/>
  </si>
  <si>
    <t>最大抗压强度</t>
    <phoneticPr fontId="1" type="noConversion"/>
  </si>
  <si>
    <t>铝合金密度</t>
    <phoneticPr fontId="1" type="noConversion"/>
  </si>
  <si>
    <r>
      <t>lb/in</t>
    </r>
    <r>
      <rPr>
        <vertAlign val="superscript"/>
        <sz val="11"/>
        <color theme="1"/>
        <rFont val="等线"/>
        <family val="3"/>
        <charset val="134"/>
        <scheme val="minor"/>
      </rPr>
      <t>3</t>
    </r>
    <phoneticPr fontId="1" type="noConversion"/>
  </si>
  <si>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2024</t>
    </r>
    <phoneticPr fontId="1" type="noConversion"/>
  </si>
  <si>
    <t>一、确定机翼基本几何参数</t>
    <phoneticPr fontId="1" type="noConversion"/>
  </si>
  <si>
    <t>机翼的直接重量估算</t>
    <phoneticPr fontId="1" type="noConversion"/>
  </si>
  <si>
    <t>机翼展长</t>
    <phoneticPr fontId="1" type="noConversion"/>
  </si>
  <si>
    <t>b</t>
    <phoneticPr fontId="1" type="noConversion"/>
  </si>
  <si>
    <t>平均弦长</t>
    <phoneticPr fontId="1" type="noConversion"/>
  </si>
  <si>
    <r>
      <t>c</t>
    </r>
    <r>
      <rPr>
        <i/>
        <vertAlign val="subscript"/>
        <sz val="11"/>
        <color theme="1"/>
        <rFont val="等线"/>
        <family val="3"/>
        <charset val="134"/>
        <scheme val="minor"/>
      </rPr>
      <t>av</t>
    </r>
    <phoneticPr fontId="1" type="noConversion"/>
  </si>
  <si>
    <t>翼根弦长</t>
    <phoneticPr fontId="1" type="noConversion"/>
  </si>
  <si>
    <r>
      <t>c</t>
    </r>
    <r>
      <rPr>
        <i/>
        <vertAlign val="subscript"/>
        <sz val="11"/>
        <color theme="1"/>
        <rFont val="等线"/>
        <family val="3"/>
        <charset val="134"/>
        <scheme val="minor"/>
      </rPr>
      <t>R</t>
    </r>
    <phoneticPr fontId="1" type="noConversion"/>
  </si>
  <si>
    <t>翼梢弦长</t>
    <phoneticPr fontId="1" type="noConversion"/>
  </si>
  <si>
    <r>
      <t>c</t>
    </r>
    <r>
      <rPr>
        <i/>
        <vertAlign val="subscript"/>
        <sz val="11"/>
        <color theme="1"/>
        <rFont val="等线"/>
        <family val="3"/>
        <charset val="134"/>
        <scheme val="minor"/>
      </rPr>
      <t>T</t>
    </r>
    <phoneticPr fontId="1" type="noConversion"/>
  </si>
  <si>
    <t>二、确定平均几何参数</t>
    <phoneticPr fontId="1" type="noConversion"/>
  </si>
  <si>
    <t>平均几何弦长</t>
    <phoneticPr fontId="1" type="noConversion"/>
  </si>
  <si>
    <t>MGC</t>
    <phoneticPr fontId="1" type="noConversion"/>
  </si>
  <si>
    <t>三、确定翼根和翼梢处的结构参数</t>
    <phoneticPr fontId="1" type="noConversion"/>
  </si>
  <si>
    <t>翼根处单元长度</t>
    <phoneticPr fontId="1" type="noConversion"/>
  </si>
  <si>
    <r>
      <t>c</t>
    </r>
    <r>
      <rPr>
        <i/>
        <vertAlign val="subscript"/>
        <sz val="11"/>
        <color theme="1"/>
        <rFont val="等线"/>
        <family val="3"/>
        <charset val="134"/>
        <scheme val="minor"/>
      </rPr>
      <t>cell</t>
    </r>
    <phoneticPr fontId="1" type="noConversion"/>
  </si>
  <si>
    <t>h</t>
    <phoneticPr fontId="1" type="noConversion"/>
  </si>
  <si>
    <t>单元面积</t>
    <phoneticPr fontId="1" type="noConversion"/>
  </si>
  <si>
    <r>
      <t>A</t>
    </r>
    <r>
      <rPr>
        <i/>
        <vertAlign val="subscript"/>
        <sz val="11"/>
        <color theme="1"/>
        <rFont val="等线"/>
        <family val="3"/>
        <charset val="134"/>
        <scheme val="minor"/>
      </rPr>
      <t>cell</t>
    </r>
    <phoneticPr fontId="1" type="noConversion"/>
  </si>
  <si>
    <t>翼根处弧长</t>
    <phoneticPr fontId="1" type="noConversion"/>
  </si>
  <si>
    <r>
      <t>S</t>
    </r>
    <r>
      <rPr>
        <i/>
        <vertAlign val="subscript"/>
        <sz val="11"/>
        <color theme="1"/>
        <rFont val="等线"/>
        <family val="3"/>
        <charset val="134"/>
        <scheme val="minor"/>
      </rPr>
      <t>cell</t>
    </r>
    <phoneticPr fontId="1" type="noConversion"/>
  </si>
  <si>
    <t>翼梢处弧长</t>
    <phoneticPr fontId="1" type="noConversion"/>
  </si>
  <si>
    <r>
      <t>S</t>
    </r>
    <r>
      <rPr>
        <i/>
        <vertAlign val="subscript"/>
        <sz val="11"/>
        <color theme="1"/>
        <rFont val="等线"/>
        <family val="3"/>
        <charset val="134"/>
        <scheme val="minor"/>
      </rPr>
      <t>cellT</t>
    </r>
    <phoneticPr fontId="1" type="noConversion"/>
  </si>
  <si>
    <t>扭矩</t>
    <phoneticPr fontId="1" type="noConversion"/>
  </si>
  <si>
    <t>T</t>
    <phoneticPr fontId="1" type="noConversion"/>
  </si>
  <si>
    <t>蒙皮最小厚度</t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</si>
  <si>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skinmin</t>
    </r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</si>
  <si>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skin</t>
    </r>
    <phoneticPr fontId="1" type="noConversion"/>
  </si>
  <si>
    <t>翼根蒙皮厚度</t>
    <phoneticPr fontId="1" type="noConversion"/>
  </si>
  <si>
    <t>翼梢蒙皮厚度</t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</si>
  <si>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skinT</t>
    </r>
    <phoneticPr fontId="1" type="noConversion"/>
  </si>
  <si>
    <t>四、确定蒙皮厚度</t>
    <phoneticPr fontId="1" type="noConversion"/>
  </si>
  <si>
    <t>五、确定蒙皮重量</t>
    <phoneticPr fontId="1" type="noConversion"/>
  </si>
  <si>
    <t>蒙皮重量</t>
    <phoneticPr fontId="1" type="noConversion"/>
  </si>
  <si>
    <t>ft•lbf</t>
    <phoneticPr fontId="1" type="noConversion"/>
  </si>
  <si>
    <t>in</t>
    <phoneticPr fontId="1" type="noConversion"/>
  </si>
  <si>
    <t>六、确定抗剪腹板厚度</t>
    <phoneticPr fontId="1" type="noConversion"/>
  </si>
  <si>
    <t>V</t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</si>
  <si>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webmin</t>
    </r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</si>
  <si>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web</t>
    </r>
    <phoneticPr fontId="1" type="noConversion"/>
  </si>
  <si>
    <t>剪切力</t>
    <phoneticPr fontId="1" type="noConversion"/>
  </si>
  <si>
    <t>翼根处抗剪腹板最小厚度</t>
    <phoneticPr fontId="1" type="noConversion"/>
  </si>
  <si>
    <t>翼梢处抗剪腹板最小厚度</t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</si>
  <si>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webT</t>
    </r>
    <phoneticPr fontId="1" type="noConversion"/>
  </si>
  <si>
    <r>
      <t>t</t>
    </r>
    <r>
      <rPr>
        <i/>
        <vertAlign val="subscript"/>
        <sz val="11"/>
        <color theme="1"/>
        <rFont val="等线"/>
        <family val="3"/>
        <charset val="134"/>
        <scheme val="minor"/>
      </rPr>
      <t>webTmin</t>
    </r>
    <phoneticPr fontId="1" type="noConversion"/>
  </si>
  <si>
    <t>七、确定抗剪腹板重量</t>
    <phoneticPr fontId="1" type="noConversion"/>
  </si>
  <si>
    <t>抗剪腹板重量</t>
    <phoneticPr fontId="1" type="noConversion"/>
  </si>
  <si>
    <r>
      <t>W</t>
    </r>
    <r>
      <rPr>
        <i/>
        <vertAlign val="subscript"/>
        <sz val="11"/>
        <color theme="1"/>
        <rFont val="等线"/>
        <family val="3"/>
        <charset val="134"/>
        <scheme val="minor"/>
      </rPr>
      <t>web</t>
    </r>
    <phoneticPr fontId="1" type="noConversion"/>
  </si>
  <si>
    <t>八、确定翼梁缘条面积</t>
    <phoneticPr fontId="1" type="noConversion"/>
  </si>
  <si>
    <t>弯曲力</t>
    <phoneticPr fontId="1" type="noConversion"/>
  </si>
  <si>
    <t>翼根处翼梁缘条面积</t>
    <phoneticPr fontId="1" type="noConversion"/>
  </si>
  <si>
    <t>翼梢处翼梁缘条面积</t>
    <phoneticPr fontId="1" type="noConversion"/>
  </si>
  <si>
    <r>
      <t>F</t>
    </r>
    <r>
      <rPr>
        <i/>
        <vertAlign val="subscript"/>
        <sz val="11"/>
        <color theme="1"/>
        <rFont val="等线"/>
        <family val="3"/>
        <charset val="134"/>
        <scheme val="minor"/>
      </rPr>
      <t>bend</t>
    </r>
    <phoneticPr fontId="1" type="noConversion"/>
  </si>
  <si>
    <r>
      <t>A</t>
    </r>
    <r>
      <rPr>
        <i/>
        <vertAlign val="subscript"/>
        <sz val="11"/>
        <color theme="1"/>
        <rFont val="等线"/>
        <family val="3"/>
        <charset val="134"/>
        <scheme val="minor"/>
      </rPr>
      <t>capT</t>
    </r>
    <phoneticPr fontId="1" type="noConversion"/>
  </si>
  <si>
    <r>
      <t>Y</t>
    </r>
    <r>
      <rPr>
        <i/>
        <vertAlign val="subscript"/>
        <sz val="11"/>
        <color theme="1"/>
        <rFont val="等线"/>
        <family val="3"/>
        <charset val="134"/>
        <scheme val="minor"/>
      </rPr>
      <t>MGC</t>
    </r>
    <phoneticPr fontId="1" type="noConversion"/>
  </si>
  <si>
    <r>
      <t>in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phoneticPr fontId="1" type="noConversion"/>
  </si>
  <si>
    <t>翼梁缘条重量</t>
    <phoneticPr fontId="1" type="noConversion"/>
  </si>
  <si>
    <r>
      <t>W</t>
    </r>
    <r>
      <rPr>
        <i/>
        <vertAlign val="subscript"/>
        <sz val="11"/>
        <color theme="1"/>
        <rFont val="等线"/>
        <family val="3"/>
        <charset val="134"/>
        <scheme val="minor"/>
      </rPr>
      <t>caps</t>
    </r>
    <phoneticPr fontId="1" type="noConversion"/>
  </si>
  <si>
    <t>九、确定翼梁缘条重量</t>
    <phoneticPr fontId="1" type="noConversion"/>
  </si>
  <si>
    <t>十、确定翼肋重量</t>
    <phoneticPr fontId="1" type="noConversion"/>
  </si>
  <si>
    <t>翼肋数量</t>
    <phoneticPr fontId="1" type="noConversion"/>
  </si>
  <si>
    <t>翼肋重量</t>
    <phoneticPr fontId="1" type="noConversion"/>
  </si>
  <si>
    <r>
      <t>N</t>
    </r>
    <r>
      <rPr>
        <i/>
        <vertAlign val="subscript"/>
        <sz val="11"/>
        <color theme="1"/>
        <rFont val="等线"/>
        <family val="3"/>
        <charset val="134"/>
        <scheme val="minor"/>
      </rPr>
      <t>rib</t>
    </r>
    <phoneticPr fontId="1" type="noConversion"/>
  </si>
  <si>
    <r>
      <t>W</t>
    </r>
    <r>
      <rPr>
        <i/>
        <vertAlign val="subscript"/>
        <sz val="11"/>
        <color theme="1"/>
        <rFont val="等线"/>
        <family val="3"/>
        <charset val="134"/>
        <scheme val="minor"/>
      </rPr>
      <t>ribs</t>
    </r>
    <phoneticPr fontId="1" type="noConversion"/>
  </si>
  <si>
    <t>十一、确定机翼主部件重量</t>
    <phoneticPr fontId="1" type="noConversion"/>
  </si>
  <si>
    <t>机翼主要部件重量</t>
    <phoneticPr fontId="1" type="noConversion"/>
  </si>
  <si>
    <r>
      <t>W</t>
    </r>
    <r>
      <rPr>
        <i/>
        <vertAlign val="subscript"/>
        <sz val="11"/>
        <color theme="1"/>
        <rFont val="等线"/>
        <family val="3"/>
        <charset val="134"/>
        <scheme val="minor"/>
      </rPr>
      <t>wing</t>
    </r>
    <phoneticPr fontId="1" type="noConversion"/>
  </si>
  <si>
    <t>单侧机翼主要部件重量</t>
    <phoneticPr fontId="1" type="noConversion"/>
  </si>
  <si>
    <r>
      <t>W</t>
    </r>
    <r>
      <rPr>
        <i/>
        <vertAlign val="subscript"/>
        <sz val="11"/>
        <color theme="1"/>
        <rFont val="等线"/>
        <family val="3"/>
        <charset val="134"/>
        <scheme val="minor"/>
      </rPr>
      <t>wingL</t>
    </r>
    <phoneticPr fontId="1" type="noConversion"/>
  </si>
  <si>
    <t>升力中心在翼展方向的位置</t>
    <phoneticPr fontId="1" type="noConversion"/>
  </si>
  <si>
    <t>在MGC处的结构高度</t>
    <phoneticPr fontId="1" type="noConversion"/>
  </si>
  <si>
    <t>功率单位</t>
    <phoneticPr fontId="1" type="noConversion"/>
  </si>
  <si>
    <t>hp</t>
    <phoneticPr fontId="1" type="noConversion"/>
  </si>
  <si>
    <t>ft•lbf/s</t>
    <phoneticPr fontId="1" type="noConversion"/>
  </si>
  <si>
    <t>kW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</si>
</sst>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¥&quot;#,##0;&quot;¥&quot;\-#,##0"/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0.00_ "/>
    <numFmt numFmtId="177" formatCode="#,##0.00_ "/>
    <numFmt numFmtId="178" formatCode="0.000_ "/>
    <numFmt numFmtId="179" formatCode="0_ "/>
    <numFmt numFmtId="180" formatCode="0_);[Red]\(0\)"/>
    <numFmt numFmtId="181" formatCode="0.000_);[Red]\(0.000\)"/>
    <numFmt numFmtId="182" formatCode="0.0_ "/>
    <numFmt numFmtId="183" formatCode="0.0000_ "/>
  </numFmts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vertAlign val="superscript"/>
      <sz val="1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2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i/>
      <vertAlign val="subscript"/>
      <sz val="11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vertAlign val="subscript"/>
      <sz val="18"/>
      <color theme="1"/>
      <name val="等线"/>
      <family val="3"/>
      <charset val="134"/>
      <scheme val="minor"/>
    </font>
    <font>
      <sz val="11"/>
      <color theme="1"/>
      <name val="Segoe UI"/>
      <family val="2"/>
      <charset val="238"/>
    </font>
    <font>
      <vertAlign val="subscript"/>
      <sz val="11"/>
      <color theme="1"/>
      <name val="Segoe UI"/>
      <family val="2"/>
      <charset val="238"/>
    </font>
    <font>
      <i/>
      <sz val="11"/>
      <color theme="1"/>
      <name val="Segoe UI"/>
      <family val="2"/>
      <charset val="238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2" fillId="5" borderId="5" xfId="0" applyFont="1" applyFill="1" applyBorder="1" applyAlignment="1">
      <alignment horizontal="center" vertical="center"/>
    </xf>
    <xf numFmtId="44" fontId="0" fillId="4" borderId="5" xfId="0" applyNumberFormat="1" applyFill="1" applyBorder="1" applyAlignment="1">
      <alignment horizontal="center" vertical="center"/>
    </xf>
    <xf numFmtId="44" fontId="0" fillId="4" borderId="1" xfId="0" applyNumberFormat="1" applyFill="1" applyBorder="1" applyAlignment="1">
      <alignment horizontal="center" vertical="center"/>
    </xf>
    <xf numFmtId="44" fontId="0" fillId="4" borderId="7" xfId="0" applyNumberFormat="1" applyFill="1" applyBorder="1" applyAlignment="1">
      <alignment horizontal="center" vertical="center"/>
    </xf>
    <xf numFmtId="44" fontId="0" fillId="4" borderId="10" xfId="0" applyNumberFormat="1" applyFill="1" applyBorder="1" applyAlignment="1">
      <alignment horizontal="center" vertical="center"/>
    </xf>
    <xf numFmtId="44" fontId="0" fillId="4" borderId="12" xfId="0" applyNumberFormat="1" applyFill="1" applyBorder="1" applyAlignment="1">
      <alignment horizontal="center" vertical="center"/>
    </xf>
    <xf numFmtId="44" fontId="0" fillId="4" borderId="8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77" fontId="0" fillId="4" borderId="12" xfId="0" applyNumberFormat="1" applyFill="1" applyBorder="1" applyAlignment="1">
      <alignment horizontal="center" vertical="center"/>
    </xf>
    <xf numFmtId="0" fontId="0" fillId="0" borderId="11" xfId="0" applyBorder="1"/>
    <xf numFmtId="0" fontId="0" fillId="0" borderId="6" xfId="0" applyBorder="1"/>
    <xf numFmtId="0" fontId="0" fillId="0" borderId="9" xfId="0" applyBorder="1"/>
    <xf numFmtId="177" fontId="0" fillId="0" borderId="5" xfId="0" applyNumberFormat="1" applyBorder="1"/>
    <xf numFmtId="44" fontId="0" fillId="0" borderId="10" xfId="0" applyNumberFormat="1" applyBorder="1"/>
    <xf numFmtId="5" fontId="0" fillId="0" borderId="1" xfId="0" applyNumberFormat="1" applyBorder="1"/>
    <xf numFmtId="42" fontId="0" fillId="0" borderId="1" xfId="0" applyNumberFormat="1" applyBorder="1"/>
    <xf numFmtId="5" fontId="0" fillId="0" borderId="12" xfId="0" applyNumberFormat="1" applyBorder="1"/>
    <xf numFmtId="42" fontId="0" fillId="0" borderId="7" xfId="0" applyNumberFormat="1" applyBorder="1"/>
    <xf numFmtId="5" fontId="0" fillId="0" borderId="7" xfId="0" applyNumberFormat="1" applyBorder="1"/>
    <xf numFmtId="5" fontId="0" fillId="0" borderId="8" xfId="0" applyNumberFormat="1" applyBorder="1"/>
    <xf numFmtId="0" fontId="6" fillId="6" borderId="17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42" fontId="0" fillId="0" borderId="5" xfId="0" applyNumberFormat="1" applyBorder="1"/>
    <xf numFmtId="5" fontId="0" fillId="0" borderId="5" xfId="0" applyNumberFormat="1" applyBorder="1"/>
    <xf numFmtId="5" fontId="0" fillId="0" borderId="10" xfId="0" applyNumberFormat="1" applyBorder="1"/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5" fontId="0" fillId="3" borderId="1" xfId="0" applyNumberFormat="1" applyFill="1" applyBorder="1"/>
    <xf numFmtId="5" fontId="0" fillId="2" borderId="1" xfId="0" applyNumberFormat="1" applyFill="1" applyBorder="1"/>
    <xf numFmtId="5" fontId="0" fillId="3" borderId="12" xfId="0" applyNumberFormat="1" applyFill="1" applyBorder="1"/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" fillId="5" borderId="26" xfId="0" applyFont="1" applyFill="1" applyBorder="1" applyAlignment="1">
      <alignment vertical="center"/>
    </xf>
    <xf numFmtId="0" fontId="0" fillId="10" borderId="1" xfId="0" applyFill="1" applyBorder="1" applyAlignment="1">
      <alignment horizontal="center" vertical="center"/>
    </xf>
    <xf numFmtId="0" fontId="0" fillId="3" borderId="4" xfId="0" applyFill="1" applyBorder="1"/>
    <xf numFmtId="178" fontId="0" fillId="4" borderId="1" xfId="0" applyNumberFormat="1" applyFill="1" applyBorder="1" applyAlignment="1">
      <alignment horizontal="center"/>
    </xf>
    <xf numFmtId="0" fontId="0" fillId="11" borderId="11" xfId="0" applyFill="1" applyBorder="1"/>
    <xf numFmtId="177" fontId="0" fillId="11" borderId="1" xfId="0" applyNumberFormat="1" applyFill="1" applyBorder="1"/>
    <xf numFmtId="44" fontId="0" fillId="11" borderId="12" xfId="0" applyNumberFormat="1" applyFill="1" applyBorder="1"/>
    <xf numFmtId="0" fontId="0" fillId="11" borderId="6" xfId="0" applyFill="1" applyBorder="1"/>
    <xf numFmtId="177" fontId="0" fillId="11" borderId="7" xfId="0" applyNumberFormat="1" applyFill="1" applyBorder="1"/>
    <xf numFmtId="44" fontId="0" fillId="11" borderId="8" xfId="0" applyNumberFormat="1" applyFill="1" applyBorder="1"/>
    <xf numFmtId="0" fontId="0" fillId="10" borderId="33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11" fillId="13" borderId="7" xfId="0" applyFont="1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10" borderId="3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79" fontId="0" fillId="13" borderId="1" xfId="0" applyNumberFormat="1" applyFill="1" applyBorder="1" applyAlignment="1">
      <alignment horizontal="center" vertical="center"/>
    </xf>
    <xf numFmtId="0" fontId="15" fillId="10" borderId="33" xfId="0" applyFont="1" applyFill="1" applyBorder="1" applyAlignment="1">
      <alignment horizontal="center" vertical="center"/>
    </xf>
    <xf numFmtId="0" fontId="5" fillId="10" borderId="33" xfId="0" applyFont="1" applyFill="1" applyBorder="1" applyAlignment="1">
      <alignment horizontal="center" vertical="center"/>
    </xf>
    <xf numFmtId="0" fontId="5" fillId="10" borderId="34" xfId="0" applyFont="1" applyFill="1" applyBorder="1" applyAlignment="1">
      <alignment horizontal="center" vertical="center"/>
    </xf>
    <xf numFmtId="0" fontId="11" fillId="13" borderId="12" xfId="0" applyFont="1" applyFill="1" applyBorder="1" applyAlignment="1">
      <alignment horizontal="center" vertical="center"/>
    </xf>
    <xf numFmtId="178" fontId="11" fillId="13" borderId="1" xfId="0" applyNumberFormat="1" applyFont="1" applyFill="1" applyBorder="1" applyAlignment="1">
      <alignment horizontal="center" vertical="center"/>
    </xf>
    <xf numFmtId="179" fontId="11" fillId="13" borderId="12" xfId="0" applyNumberFormat="1" applyFont="1" applyFill="1" applyBorder="1" applyAlignment="1">
      <alignment horizontal="center" vertical="center"/>
    </xf>
    <xf numFmtId="180" fontId="11" fillId="13" borderId="1" xfId="0" applyNumberFormat="1" applyFont="1" applyFill="1" applyBorder="1" applyAlignment="1">
      <alignment horizontal="center" vertical="center"/>
    </xf>
    <xf numFmtId="180" fontId="11" fillId="13" borderId="7" xfId="0" applyNumberFormat="1" applyFont="1" applyFill="1" applyBorder="1" applyAlignment="1">
      <alignment horizontal="center" vertical="center"/>
    </xf>
    <xf numFmtId="180" fontId="11" fillId="13" borderId="11" xfId="0" applyNumberFormat="1" applyFont="1" applyFill="1" applyBorder="1" applyAlignment="1">
      <alignment horizontal="center" vertical="center"/>
    </xf>
    <xf numFmtId="180" fontId="11" fillId="13" borderId="12" xfId="0" applyNumberFormat="1" applyFont="1" applyFill="1" applyBorder="1" applyAlignment="1">
      <alignment horizontal="center" vertical="center"/>
    </xf>
    <xf numFmtId="180" fontId="11" fillId="13" borderId="6" xfId="0" applyNumberFormat="1" applyFont="1" applyFill="1" applyBorder="1" applyAlignment="1">
      <alignment horizontal="center" vertical="center"/>
    </xf>
    <xf numFmtId="180" fontId="11" fillId="13" borderId="8" xfId="0" applyNumberFormat="1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9" borderId="33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81" fontId="0" fillId="9" borderId="33" xfId="0" applyNumberFormat="1" applyFill="1" applyBorder="1" applyAlignment="1">
      <alignment horizontal="center" vertical="center"/>
    </xf>
    <xf numFmtId="181" fontId="0" fillId="9" borderId="18" xfId="0" applyNumberFormat="1" applyFill="1" applyBorder="1" applyAlignment="1">
      <alignment horizontal="center" vertical="center"/>
    </xf>
    <xf numFmtId="181" fontId="0" fillId="3" borderId="33" xfId="0" applyNumberFormat="1" applyFill="1" applyBorder="1" applyAlignment="1">
      <alignment horizontal="center" vertical="center"/>
    </xf>
    <xf numFmtId="181" fontId="0" fillId="3" borderId="7" xfId="0" applyNumberFormat="1" applyFill="1" applyBorder="1" applyAlignment="1">
      <alignment horizontal="center" vertical="center"/>
    </xf>
    <xf numFmtId="181" fontId="0" fillId="0" borderId="0" xfId="0" applyNumberFormat="1"/>
    <xf numFmtId="0" fontId="0" fillId="3" borderId="4" xfId="0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82" fontId="0" fillId="4" borderId="1" xfId="0" applyNumberFormat="1" applyFill="1" applyBorder="1" applyAlignment="1">
      <alignment horizontal="center" vertical="center"/>
    </xf>
    <xf numFmtId="182" fontId="0" fillId="3" borderId="1" xfId="0" applyNumberFormat="1" applyFill="1" applyBorder="1" applyAlignment="1">
      <alignment horizontal="center"/>
    </xf>
    <xf numFmtId="0" fontId="18" fillId="3" borderId="1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176" fontId="0" fillId="13" borderId="1" xfId="0" applyNumberFormat="1" applyFill="1" applyBorder="1" applyAlignment="1">
      <alignment horizontal="center" vertical="center"/>
    </xf>
    <xf numFmtId="176" fontId="0" fillId="13" borderId="7" xfId="0" applyNumberFormat="1" applyFill="1" applyBorder="1" applyAlignment="1">
      <alignment horizontal="center" vertical="center"/>
    </xf>
    <xf numFmtId="183" fontId="0" fillId="13" borderId="1" xfId="0" applyNumberFormat="1" applyFill="1" applyBorder="1" applyAlignment="1">
      <alignment horizontal="center" vertical="center"/>
    </xf>
    <xf numFmtId="178" fontId="0" fillId="13" borderId="1" xfId="0" applyNumberFormat="1" applyFill="1" applyBorder="1" applyAlignment="1">
      <alignment horizontal="center" vertical="center"/>
    </xf>
    <xf numFmtId="178" fontId="0" fillId="13" borderId="7" xfId="0" applyNumberForma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2" fillId="8" borderId="19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/>
    </xf>
    <xf numFmtId="0" fontId="2" fillId="8" borderId="24" xfId="0" applyFont="1" applyFill="1" applyBorder="1" applyAlignment="1">
      <alignment horizontal="center" vertical="center"/>
    </xf>
    <xf numFmtId="0" fontId="2" fillId="8" borderId="25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3" fillId="3" borderId="15" xfId="0" applyFont="1" applyFill="1" applyBorder="1" applyAlignment="1">
      <alignment horizontal="left" vertical="center"/>
    </xf>
    <xf numFmtId="0" fontId="13" fillId="3" borderId="31" xfId="0" applyFont="1" applyFill="1" applyBorder="1" applyAlignment="1">
      <alignment horizontal="left" vertical="center"/>
    </xf>
    <xf numFmtId="0" fontId="13" fillId="3" borderId="30" xfId="0" applyFont="1" applyFill="1" applyBorder="1" applyAlignment="1">
      <alignment horizontal="left" vertical="center"/>
    </xf>
    <xf numFmtId="0" fontId="0" fillId="10" borderId="33" xfId="0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0" fillId="10" borderId="32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3" borderId="1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10" fillId="12" borderId="13" xfId="0" applyFont="1" applyFill="1" applyBorder="1" applyAlignment="1">
      <alignment horizontal="left" vertical="center"/>
    </xf>
    <xf numFmtId="0" fontId="10" fillId="12" borderId="14" xfId="0" applyFont="1" applyFill="1" applyBorder="1" applyAlignment="1">
      <alignment horizontal="left" vertical="center"/>
    </xf>
    <xf numFmtId="0" fontId="10" fillId="12" borderId="15" xfId="0" applyFont="1" applyFill="1" applyBorder="1" applyAlignment="1">
      <alignment horizontal="left" vertic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5" fillId="10" borderId="32" xfId="0" applyFont="1" applyFill="1" applyBorder="1" applyAlignment="1">
      <alignment horizontal="center"/>
    </xf>
    <xf numFmtId="0" fontId="0" fillId="10" borderId="32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10" fillId="12" borderId="31" xfId="0" applyFont="1" applyFill="1" applyBorder="1" applyAlignment="1">
      <alignment horizontal="left" vertical="center"/>
    </xf>
    <xf numFmtId="0" fontId="10" fillId="12" borderId="30" xfId="0" applyFont="1" applyFill="1" applyBorder="1" applyAlignment="1">
      <alignment horizontal="left" vertical="center"/>
    </xf>
    <xf numFmtId="0" fontId="0" fillId="13" borderId="38" xfId="0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800" b="1"/>
              <a:t>销售价格与产量关系</a:t>
            </a:r>
            <a:endParaRPr lang="en-US" sz="1800" b="1"/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alpha val="96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'02_飞机费用分析'!$M$4:$M$21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2500</c:v>
                </c:pt>
                <c:pt idx="13">
                  <c:v>3000</c:v>
                </c:pt>
                <c:pt idx="14">
                  <c:v>3500</c:v>
                </c:pt>
                <c:pt idx="15">
                  <c:v>4000</c:v>
                </c:pt>
                <c:pt idx="16">
                  <c:v>4500</c:v>
                </c:pt>
                <c:pt idx="17">
                  <c:v>5000</c:v>
                </c:pt>
              </c:numCache>
            </c:numRef>
          </c:xVal>
          <c:yVal>
            <c:numRef>
              <c:f>'02_飞机费用分析'!$O$4:$O$21</c:f>
              <c:numCache>
                <c:formatCode>_("¥"* #,##0.00_);_("¥"* \(#,##0.00\);_("¥"* "-"??_);_(@_)</c:formatCode>
                <c:ptCount val="18"/>
                <c:pt idx="0">
                  <c:v>204561.07566130464</c:v>
                </c:pt>
                <c:pt idx="1">
                  <c:v>195972.13363402354</c:v>
                </c:pt>
                <c:pt idx="2">
                  <c:v>192210.19269061973</c:v>
                </c:pt>
                <c:pt idx="3">
                  <c:v>187327.72048297798</c:v>
                </c:pt>
                <c:pt idx="4">
                  <c:v>172794.26103830914</c:v>
                </c:pt>
                <c:pt idx="5">
                  <c:v>168882.58866544135</c:v>
                </c:pt>
                <c:pt idx="6">
                  <c:v>166685.71291273984</c:v>
                </c:pt>
                <c:pt idx="7">
                  <c:v>165166.50056642</c:v>
                </c:pt>
                <c:pt idx="8">
                  <c:v>164010.17997453388</c:v>
                </c:pt>
                <c:pt idx="9">
                  <c:v>160537.71312618381</c:v>
                </c:pt>
                <c:pt idx="10">
                  <c:v>158587.50424005277</c:v>
                </c:pt>
                <c:pt idx="11">
                  <c:v>157238.87020188762</c:v>
                </c:pt>
                <c:pt idx="12">
                  <c:v>156212.38215824676</c:v>
                </c:pt>
                <c:pt idx="13">
                  <c:v>155386.1720867221</c:v>
                </c:pt>
                <c:pt idx="14">
                  <c:v>154696.26569120697</c:v>
                </c:pt>
                <c:pt idx="15">
                  <c:v>154104.96997636071</c:v>
                </c:pt>
                <c:pt idx="16">
                  <c:v>153588.23802844621</c:v>
                </c:pt>
                <c:pt idx="17">
                  <c:v>153129.8065068381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997-46C2-A868-EB1DC3818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471152"/>
        <c:axId val="1880482192"/>
      </c:scatterChart>
      <c:valAx>
        <c:axId val="1880471152"/>
        <c:scaling>
          <c:orientation val="minMax"/>
          <c:max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产量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80482192"/>
        <c:crossesAt val="0"/>
        <c:crossBetween val="midCat"/>
      </c:valAx>
      <c:valAx>
        <c:axId val="1880482192"/>
        <c:scaling>
          <c:orientation val="minMax"/>
          <c:min val="1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销售单价</a:t>
                </a:r>
                <a:r>
                  <a:rPr lang="en-US" altLang="zh-CN"/>
                  <a:t>/</a:t>
                </a:r>
                <a:r>
                  <a:rPr lang="zh-CN" altLang="en-US"/>
                  <a:t>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_(&quot;¥&quot;* #,##0_);_(&quot;¥&quot;* \(#,##0\);_(&quot;¥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80471152"/>
        <c:crossesAt val="1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2000" b="1"/>
              <a:t>盈亏平衡分析</a:t>
            </a:r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'02_飞机费用分析'!$S$3</c:f>
              <c:strCache>
                <c:ptCount val="1"/>
                <c:pt idx="0">
                  <c:v>固定成本+可变成本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'02_飞机费用分析'!$Q$4:$Q$21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2500</c:v>
                </c:pt>
                <c:pt idx="13">
                  <c:v>3000</c:v>
                </c:pt>
                <c:pt idx="14">
                  <c:v>3500</c:v>
                </c:pt>
                <c:pt idx="15">
                  <c:v>4000</c:v>
                </c:pt>
                <c:pt idx="16">
                  <c:v>4500</c:v>
                </c:pt>
                <c:pt idx="17">
                  <c:v>5000</c:v>
                </c:pt>
              </c:numCache>
            </c:numRef>
          </c:xVal>
          <c:yVal>
            <c:numRef>
              <c:f>'02_飞机费用分析'!$S$4:$S$21</c:f>
              <c:numCache>
                <c:formatCode>"¥"#,##0_);\("¥"#,##0\)</c:formatCode>
                <c:ptCount val="18"/>
                <c:pt idx="0">
                  <c:v>5779594.1191557469</c:v>
                </c:pt>
                <c:pt idx="1">
                  <c:v>6349878.9684065264</c:v>
                </c:pt>
                <c:pt idx="2">
                  <c:v>6909943.0549675673</c:v>
                </c:pt>
                <c:pt idx="3">
                  <c:v>8289493.1063692831</c:v>
                </c:pt>
                <c:pt idx="4">
                  <c:v>32107470.585821021</c:v>
                </c:pt>
                <c:pt idx="5">
                  <c:v>57951038.415579051</c:v>
                </c:pt>
                <c:pt idx="6">
                  <c:v>83526710.756813392</c:v>
                </c:pt>
                <c:pt idx="7">
                  <c:v>108934073.31006013</c:v>
                </c:pt>
                <c:pt idx="8">
                  <c:v>134219039.27125975</c:v>
                </c:pt>
                <c:pt idx="9">
                  <c:v>259484043.41268</c:v>
                </c:pt>
                <c:pt idx="10">
                  <c:v>383559967.64907867</c:v>
                </c:pt>
                <c:pt idx="11">
                  <c:v>506888832.69527811</c:v>
                </c:pt>
                <c:pt idx="12">
                  <c:v>629674428.68962324</c:v>
                </c:pt>
                <c:pt idx="13">
                  <c:v>752034370.55667591</c:v>
                </c:pt>
                <c:pt idx="14">
                  <c:v>874045165.2182374</c:v>
                </c:pt>
                <c:pt idx="15">
                  <c:v>995760496.20695937</c:v>
                </c:pt>
                <c:pt idx="16">
                  <c:v>1117220068.4320276</c:v>
                </c:pt>
                <c:pt idx="17">
                  <c:v>1238454410.8407135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81-4034-88CE-40E807710C19}"/>
            </c:ext>
          </c:extLst>
        </c:ser>
        <c:ser>
          <c:idx val="2"/>
          <c:order val="1"/>
          <c:tx>
            <c:strRef>
              <c:f>'02_飞机费用分析'!$T$3</c:f>
              <c:strCache>
                <c:ptCount val="1"/>
                <c:pt idx="0">
                  <c:v>收益（售价为20万）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'02_飞机费用分析'!$Q$4:$Q$21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2500</c:v>
                </c:pt>
                <c:pt idx="13">
                  <c:v>3000</c:v>
                </c:pt>
                <c:pt idx="14">
                  <c:v>3500</c:v>
                </c:pt>
                <c:pt idx="15">
                  <c:v>4000</c:v>
                </c:pt>
                <c:pt idx="16">
                  <c:v>4500</c:v>
                </c:pt>
                <c:pt idx="17">
                  <c:v>5000</c:v>
                </c:pt>
              </c:numCache>
            </c:numRef>
          </c:xVal>
          <c:yVal>
            <c:numRef>
              <c:f>'02_飞机费用分析'!$T$4:$T$21</c:f>
              <c:numCache>
                <c:formatCode>"¥"#,##0_);\("¥"#,##0\)</c:formatCode>
                <c:ptCount val="18"/>
                <c:pt idx="0">
                  <c:v>200000</c:v>
                </c:pt>
                <c:pt idx="1">
                  <c:v>600000</c:v>
                </c:pt>
                <c:pt idx="2">
                  <c:v>1000000</c:v>
                </c:pt>
                <c:pt idx="3">
                  <c:v>2000000</c:v>
                </c:pt>
                <c:pt idx="4">
                  <c:v>20000000</c:v>
                </c:pt>
                <c:pt idx="5">
                  <c:v>40000000</c:v>
                </c:pt>
                <c:pt idx="6">
                  <c:v>60000000</c:v>
                </c:pt>
                <c:pt idx="7">
                  <c:v>80000000</c:v>
                </c:pt>
                <c:pt idx="8">
                  <c:v>100000000</c:v>
                </c:pt>
                <c:pt idx="9">
                  <c:v>200000000</c:v>
                </c:pt>
                <c:pt idx="10">
                  <c:v>300000000</c:v>
                </c:pt>
                <c:pt idx="11">
                  <c:v>400000000</c:v>
                </c:pt>
                <c:pt idx="12">
                  <c:v>500000000</c:v>
                </c:pt>
                <c:pt idx="13">
                  <c:v>600000000</c:v>
                </c:pt>
                <c:pt idx="14">
                  <c:v>700000000</c:v>
                </c:pt>
                <c:pt idx="15">
                  <c:v>800000000</c:v>
                </c:pt>
                <c:pt idx="16">
                  <c:v>900000000</c:v>
                </c:pt>
                <c:pt idx="17">
                  <c:v>1000000000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81-4034-88CE-40E807710C19}"/>
            </c:ext>
          </c:extLst>
        </c:ser>
        <c:ser>
          <c:idx val="3"/>
          <c:order val="2"/>
          <c:tx>
            <c:strRef>
              <c:f>'02_飞机费用分析'!$U$3</c:f>
              <c:strCache>
                <c:ptCount val="1"/>
                <c:pt idx="0">
                  <c:v>收益（售价为25万）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'02_飞机费用分析'!$Q$4:$Q$21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2500</c:v>
                </c:pt>
                <c:pt idx="13">
                  <c:v>3000</c:v>
                </c:pt>
                <c:pt idx="14">
                  <c:v>3500</c:v>
                </c:pt>
                <c:pt idx="15">
                  <c:v>4000</c:v>
                </c:pt>
                <c:pt idx="16">
                  <c:v>4500</c:v>
                </c:pt>
                <c:pt idx="17">
                  <c:v>5000</c:v>
                </c:pt>
              </c:numCache>
            </c:numRef>
          </c:xVal>
          <c:yVal>
            <c:numRef>
              <c:f>'02_飞机费用分析'!$U$4:$U$21</c:f>
              <c:numCache>
                <c:formatCode>"¥"#,##0_);\("¥"#,##0\)</c:formatCode>
                <c:ptCount val="18"/>
                <c:pt idx="0">
                  <c:v>250000</c:v>
                </c:pt>
                <c:pt idx="1">
                  <c:v>750000</c:v>
                </c:pt>
                <c:pt idx="2">
                  <c:v>1250000</c:v>
                </c:pt>
                <c:pt idx="3">
                  <c:v>2500000</c:v>
                </c:pt>
                <c:pt idx="4">
                  <c:v>25000000</c:v>
                </c:pt>
                <c:pt idx="5">
                  <c:v>50000000</c:v>
                </c:pt>
                <c:pt idx="6">
                  <c:v>75000000</c:v>
                </c:pt>
                <c:pt idx="7">
                  <c:v>100000000</c:v>
                </c:pt>
                <c:pt idx="8">
                  <c:v>125000000</c:v>
                </c:pt>
                <c:pt idx="9">
                  <c:v>250000000</c:v>
                </c:pt>
                <c:pt idx="10">
                  <c:v>375000000</c:v>
                </c:pt>
                <c:pt idx="11">
                  <c:v>500000000</c:v>
                </c:pt>
                <c:pt idx="12">
                  <c:v>625000000</c:v>
                </c:pt>
                <c:pt idx="13">
                  <c:v>750000000</c:v>
                </c:pt>
                <c:pt idx="14">
                  <c:v>875000000</c:v>
                </c:pt>
                <c:pt idx="15">
                  <c:v>1000000000</c:v>
                </c:pt>
                <c:pt idx="16">
                  <c:v>1125000000</c:v>
                </c:pt>
                <c:pt idx="17">
                  <c:v>1250000000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81-4034-88CE-40E807710C19}"/>
            </c:ext>
          </c:extLst>
        </c:ser>
        <c:ser>
          <c:idx val="4"/>
          <c:order val="3"/>
          <c:tx>
            <c:strRef>
              <c:f>'02_飞机费用分析'!$V$3</c:f>
              <c:strCache>
                <c:ptCount val="1"/>
                <c:pt idx="0">
                  <c:v>收益（售价为30万）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'02_飞机费用分析'!$Q$4:$Q$21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1500</c:v>
                </c:pt>
                <c:pt idx="11">
                  <c:v>2000</c:v>
                </c:pt>
                <c:pt idx="12">
                  <c:v>2500</c:v>
                </c:pt>
                <c:pt idx="13">
                  <c:v>3000</c:v>
                </c:pt>
                <c:pt idx="14">
                  <c:v>3500</c:v>
                </c:pt>
                <c:pt idx="15">
                  <c:v>4000</c:v>
                </c:pt>
                <c:pt idx="16">
                  <c:v>4500</c:v>
                </c:pt>
                <c:pt idx="17">
                  <c:v>5000</c:v>
                </c:pt>
              </c:numCache>
            </c:numRef>
          </c:xVal>
          <c:yVal>
            <c:numRef>
              <c:f>'02_飞机费用分析'!$V$4:$V$21</c:f>
              <c:numCache>
                <c:formatCode>"¥"#,##0_);\("¥"#,##0\)</c:formatCode>
                <c:ptCount val="18"/>
                <c:pt idx="0">
                  <c:v>300000</c:v>
                </c:pt>
                <c:pt idx="1">
                  <c:v>900000</c:v>
                </c:pt>
                <c:pt idx="2">
                  <c:v>1500000</c:v>
                </c:pt>
                <c:pt idx="3">
                  <c:v>3000000</c:v>
                </c:pt>
                <c:pt idx="4">
                  <c:v>30000000</c:v>
                </c:pt>
                <c:pt idx="5">
                  <c:v>60000000</c:v>
                </c:pt>
                <c:pt idx="6">
                  <c:v>90000000</c:v>
                </c:pt>
                <c:pt idx="7">
                  <c:v>120000000</c:v>
                </c:pt>
                <c:pt idx="8">
                  <c:v>150000000</c:v>
                </c:pt>
                <c:pt idx="9">
                  <c:v>300000000</c:v>
                </c:pt>
                <c:pt idx="10">
                  <c:v>450000000</c:v>
                </c:pt>
                <c:pt idx="11">
                  <c:v>600000000</c:v>
                </c:pt>
                <c:pt idx="12">
                  <c:v>750000000</c:v>
                </c:pt>
                <c:pt idx="13">
                  <c:v>900000000</c:v>
                </c:pt>
                <c:pt idx="14">
                  <c:v>1050000000</c:v>
                </c:pt>
                <c:pt idx="15">
                  <c:v>1200000000</c:v>
                </c:pt>
                <c:pt idx="16">
                  <c:v>1350000000</c:v>
                </c:pt>
                <c:pt idx="17">
                  <c:v>1500000000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981-4034-88CE-40E807710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19056"/>
        <c:axId val="30040656"/>
      </c:scatterChart>
      <c:valAx>
        <c:axId val="30019056"/>
        <c:scaling>
          <c:orientation val="minMax"/>
          <c:max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产量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40656"/>
        <c:crosses val="autoZero"/>
        <c:crossBetween val="midCat"/>
      </c:valAx>
      <c:valAx>
        <c:axId val="300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总成本和收益</a:t>
                </a:r>
                <a:r>
                  <a:rPr lang="en-US" altLang="zh-CN"/>
                  <a:t>/</a:t>
                </a:r>
                <a:r>
                  <a:rPr lang="zh-CN" altLang="en-US"/>
                  <a:t>亿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&quot;¥&quot;#,##0_);\(&quot;¥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19056"/>
        <c:crosses val="autoZero"/>
        <c:crossBetween val="midCat"/>
        <c:dispUnits>
          <c:builtInUnit val="hundred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802667953237779E-2"/>
          <c:y val="9.7820611779712907E-2"/>
          <c:w val="0.25216688424854367"/>
          <c:h val="0.218610443717256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约束曲线图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'03_初始参数确定'!$P$3</c:f>
              <c:strCache>
                <c:ptCount val="1"/>
                <c:pt idx="0">
                  <c:v>转弯需求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'03_初始参数确定'!$O$4:$O$15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'03_初始参数确定'!$P$4:$P$15</c:f>
              <c:numCache>
                <c:formatCode>0.000_ </c:formatCode>
                <c:ptCount val="12"/>
                <c:pt idx="0">
                  <c:v>0.31465024843902079</c:v>
                </c:pt>
                <c:pt idx="1">
                  <c:v>0.17993838475783433</c:v>
                </c:pt>
                <c:pt idx="2">
                  <c:v>0.14508476821447169</c:v>
                </c:pt>
                <c:pt idx="3">
                  <c:v>0.13519571345556505</c:v>
                </c:pt>
                <c:pt idx="4">
                  <c:v>0.13529248341044076</c:v>
                </c:pt>
                <c:pt idx="5">
                  <c:v>0.14038216572220769</c:v>
                </c:pt>
                <c:pt idx="6">
                  <c:v>0.14832494080934097</c:v>
                </c:pt>
                <c:pt idx="7">
                  <c:v>0.15805089888107829</c:v>
                </c:pt>
                <c:pt idx="8">
                  <c:v>0.16896564560921826</c:v>
                </c:pt>
                <c:pt idx="9">
                  <c:v>0.18071254439684009</c:v>
                </c:pt>
                <c:pt idx="10">
                  <c:v>0.19306464468226689</c:v>
                </c:pt>
                <c:pt idx="11">
                  <c:v>0.20587064609104749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97-4D65-B9BC-2DAB3FCBE729}"/>
            </c:ext>
          </c:extLst>
        </c:ser>
        <c:ser>
          <c:idx val="1"/>
          <c:order val="1"/>
          <c:tx>
            <c:strRef>
              <c:f>'03_初始参数确定'!$Q$3</c:f>
              <c:strCache>
                <c:ptCount val="1"/>
                <c:pt idx="0">
                  <c:v>爬升需求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'03_初始参数确定'!$O$4:$O$15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'03_初始参数确定'!$Q$4:$Q$15</c:f>
              <c:numCache>
                <c:formatCode>0.000_ </c:formatCode>
                <c:ptCount val="12"/>
                <c:pt idx="0">
                  <c:v>0.30395457024110117</c:v>
                </c:pt>
                <c:pt idx="1">
                  <c:v>0.2601889224176277</c:v>
                </c:pt>
                <c:pt idx="2">
                  <c:v>0.25254616979126721</c:v>
                </c:pt>
                <c:pt idx="3">
                  <c:v>0.25393414096418498</c:v>
                </c:pt>
                <c:pt idx="4">
                  <c:v>0.25893440165681403</c:v>
                </c:pt>
                <c:pt idx="5">
                  <c:v>0.26574080710929876</c:v>
                </c:pt>
                <c:pt idx="6">
                  <c:v>0.273579295281701</c:v>
                </c:pt>
                <c:pt idx="7">
                  <c:v>0.28206283515405167</c:v>
                </c:pt>
                <c:pt idx="8">
                  <c:v>0.29097640949303466</c:v>
                </c:pt>
                <c:pt idx="9">
                  <c:v>0.30019100795866027</c:v>
                </c:pt>
                <c:pt idx="10">
                  <c:v>0.30962453306184412</c:v>
                </c:pt>
                <c:pt idx="11">
                  <c:v>0.31922225314319663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97-4D65-B9BC-2DAB3FCBE729}"/>
            </c:ext>
          </c:extLst>
        </c:ser>
        <c:ser>
          <c:idx val="2"/>
          <c:order val="2"/>
          <c:tx>
            <c:strRef>
              <c:f>'03_初始参数确定'!$R$3</c:f>
              <c:strCache>
                <c:ptCount val="1"/>
                <c:pt idx="0">
                  <c:v>起飞需求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'03_初始参数确定'!$O$4:$O$15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'03_初始参数确定'!$R$4:$R$15</c:f>
              <c:numCache>
                <c:formatCode>0.000_ </c:formatCode>
                <c:ptCount val="12"/>
                <c:pt idx="0">
                  <c:v>0.27640442212900118</c:v>
                </c:pt>
                <c:pt idx="1">
                  <c:v>0.26209636910951967</c:v>
                </c:pt>
                <c:pt idx="2">
                  <c:v>0.25732701810302583</c:v>
                </c:pt>
                <c:pt idx="3">
                  <c:v>0.25494234259977894</c:v>
                </c:pt>
                <c:pt idx="4">
                  <c:v>0.25351153729783077</c:v>
                </c:pt>
                <c:pt idx="5">
                  <c:v>0.25255766709653205</c:v>
                </c:pt>
                <c:pt idx="6">
                  <c:v>0.25187633123846148</c:v>
                </c:pt>
                <c:pt idx="7">
                  <c:v>0.25136532934490857</c:v>
                </c:pt>
                <c:pt idx="8">
                  <c:v>0.25096788342770071</c:v>
                </c:pt>
                <c:pt idx="9">
                  <c:v>0.25064992669393449</c:v>
                </c:pt>
                <c:pt idx="10">
                  <c:v>0.25038978027539849</c:v>
                </c:pt>
                <c:pt idx="11">
                  <c:v>0.2501729915932851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97-4D65-B9BC-2DAB3FCBE729}"/>
            </c:ext>
          </c:extLst>
        </c:ser>
        <c:ser>
          <c:idx val="3"/>
          <c:order val="3"/>
          <c:tx>
            <c:strRef>
              <c:f>'03_初始参数确定'!$S$3</c:f>
              <c:strCache>
                <c:ptCount val="1"/>
                <c:pt idx="0">
                  <c:v>空速需求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'03_初始参数确定'!$O$4:$O$15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'03_初始参数确定'!$S$4:$S$15</c:f>
              <c:numCache>
                <c:formatCode>0.000_ </c:formatCode>
                <c:ptCount val="12"/>
                <c:pt idx="0">
                  <c:v>0.30334361816985883</c:v>
                </c:pt>
                <c:pt idx="1">
                  <c:v>0.15732512421951039</c:v>
                </c:pt>
                <c:pt idx="2">
                  <c:v>0.1111648774069858</c:v>
                </c:pt>
                <c:pt idx="3">
                  <c:v>8.9969192378917165E-2</c:v>
                </c:pt>
                <c:pt idx="4">
                  <c:v>7.8759332064630913E-2</c:v>
                </c:pt>
                <c:pt idx="5">
                  <c:v>7.2542384107235847E-2</c:v>
                </c:pt>
                <c:pt idx="6">
                  <c:v>6.9178528925207192E-2</c:v>
                </c:pt>
                <c:pt idx="7">
                  <c:v>6.7597856727782513E-2</c:v>
                </c:pt>
                <c:pt idx="8">
                  <c:v>6.7205973186760526E-2</c:v>
                </c:pt>
                <c:pt idx="9">
                  <c:v>6.7646241705220378E-2</c:v>
                </c:pt>
                <c:pt idx="10">
                  <c:v>6.8691711721485235E-2</c:v>
                </c:pt>
                <c:pt idx="11">
                  <c:v>7.0191082861103829E-2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97-4D65-B9BC-2DAB3FCBE729}"/>
            </c:ext>
          </c:extLst>
        </c:ser>
        <c:ser>
          <c:idx val="4"/>
          <c:order val="4"/>
          <c:tx>
            <c:strRef>
              <c:f>'03_初始参数确定'!$T$3</c:f>
              <c:strCache>
                <c:ptCount val="1"/>
                <c:pt idx="0">
                  <c:v>实用升限需求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'03_初始参数确定'!$O$4:$O$15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'03_初始参数确定'!$T$4:$T$15</c:f>
              <c:numCache>
                <c:formatCode>0.000_ </c:formatCode>
                <c:ptCount val="12"/>
                <c:pt idx="0">
                  <c:v>9.8899923597422987E-2</c:v>
                </c:pt>
                <c:pt idx="1">
                  <c:v>9.2661121927782836E-2</c:v>
                </c:pt>
                <c:pt idx="2">
                  <c:v>8.9897230203103903E-2</c:v>
                </c:pt>
                <c:pt idx="3">
                  <c:v>8.8249622960702337E-2</c:v>
                </c:pt>
                <c:pt idx="4">
                  <c:v>8.7125240805788345E-2</c:v>
                </c:pt>
                <c:pt idx="5">
                  <c:v>8.6295256379716481E-2</c:v>
                </c:pt>
                <c:pt idx="6">
                  <c:v>8.5650192859077601E-2</c:v>
                </c:pt>
                <c:pt idx="7">
                  <c:v>8.5130222125882268E-2</c:v>
                </c:pt>
                <c:pt idx="8">
                  <c:v>8.4699522748462125E-2</c:v>
                </c:pt>
                <c:pt idx="9">
                  <c:v>8.4335163879497438E-2</c:v>
                </c:pt>
                <c:pt idx="10">
                  <c:v>8.4021695254251794E-2</c:v>
                </c:pt>
                <c:pt idx="11">
                  <c:v>8.3748276263542795E-2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97-4D65-B9BC-2DAB3FCBE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361151"/>
        <c:axId val="1804361631"/>
      </c:scatterChart>
      <c:valAx>
        <c:axId val="180436115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翼载荷</a:t>
                </a:r>
                <a:r>
                  <a:rPr lang="en-US" altLang="zh-CN"/>
                  <a:t>W/S(lbf/ft</a:t>
                </a:r>
                <a:r>
                  <a:rPr lang="en-US" altLang="zh-CN" baseline="30000"/>
                  <a:t>2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29454203529992945"/>
              <c:y val="0.874009569777708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4361631"/>
        <c:crosses val="autoZero"/>
        <c:crossBetween val="midCat"/>
      </c:valAx>
      <c:valAx>
        <c:axId val="1804361631"/>
        <c:scaling>
          <c:orientation val="minMax"/>
          <c:max val="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推重比</a:t>
                </a:r>
                <a:r>
                  <a:rPr lang="en-US" altLang="zh-CN"/>
                  <a:t>T/W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4361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57558889115632"/>
          <c:y val="0.26211825572035879"/>
          <c:w val="0.17915609218041093"/>
          <c:h val="0.33289985137761519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不同条件下对</a:t>
            </a:r>
            <a:r>
              <a:rPr lang="en-US" altLang="zh-CN"/>
              <a:t>BHP</a:t>
            </a:r>
            <a:r>
              <a:rPr lang="zh-CN" altLang="en-US"/>
              <a:t>的需求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'03_初始参数确定'!$W$3</c:f>
              <c:strCache>
                <c:ptCount val="1"/>
                <c:pt idx="0">
                  <c:v>转弯需求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'03_初始参数确定'!$V$4:$V$15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'03_初始参数确定'!$W$4:$W$15</c:f>
              <c:numCache>
                <c:formatCode>0.000_ </c:formatCode>
                <c:ptCount val="12"/>
                <c:pt idx="0">
                  <c:v>362.13383138527297</c:v>
                </c:pt>
                <c:pt idx="1">
                  <c:v>207.09272282128933</c:v>
                </c:pt>
                <c:pt idx="2">
                  <c:v>166.97937869047379</c:v>
                </c:pt>
                <c:pt idx="3">
                  <c:v>155.59797566795032</c:v>
                </c:pt>
                <c:pt idx="4">
                  <c:v>155.70934908874364</c:v>
                </c:pt>
                <c:pt idx="5">
                  <c:v>161.56711073119536</c:v>
                </c:pt>
                <c:pt idx="6">
                  <c:v>170.70852278602331</c:v>
                </c:pt>
                <c:pt idx="7">
                  <c:v>181.90221634858648</c:v>
                </c:pt>
                <c:pt idx="8">
                  <c:v>194.46409758297301</c:v>
                </c:pt>
                <c:pt idx="9">
                  <c:v>207.98371018763598</c:v>
                </c:pt>
                <c:pt idx="10">
                  <c:v>222.19985469795446</c:v>
                </c:pt>
                <c:pt idx="11">
                  <c:v>236.93839813751464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04-4135-A14A-4C7C78303812}"/>
            </c:ext>
          </c:extLst>
        </c:ser>
        <c:ser>
          <c:idx val="1"/>
          <c:order val="1"/>
          <c:tx>
            <c:strRef>
              <c:f>'03_初始参数确定'!$X$3</c:f>
              <c:strCache>
                <c:ptCount val="1"/>
                <c:pt idx="0">
                  <c:v>爬升需求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'03_初始参数确定'!$V$4:$V$15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'03_初始参数确定'!$X$4:$X$15</c:f>
              <c:numCache>
                <c:formatCode>0.000_ </c:formatCode>
                <c:ptCount val="12"/>
                <c:pt idx="0">
                  <c:v>186.57284166071958</c:v>
                </c:pt>
                <c:pt idx="1">
                  <c:v>159.70869128762021</c:v>
                </c:pt>
                <c:pt idx="2">
                  <c:v>155.01743076642148</c:v>
                </c:pt>
                <c:pt idx="3">
                  <c:v>155.86939270819792</c:v>
                </c:pt>
                <c:pt idx="4">
                  <c:v>158.9386436351644</c:v>
                </c:pt>
                <c:pt idx="5">
                  <c:v>163.11653905472591</c:v>
                </c:pt>
                <c:pt idx="6">
                  <c:v>167.92794561291319</c:v>
                </c:pt>
                <c:pt idx="7">
                  <c:v>173.13529663274156</c:v>
                </c:pt>
                <c:pt idx="8">
                  <c:v>178.60661062699728</c:v>
                </c:pt>
                <c:pt idx="9">
                  <c:v>184.26269870335219</c:v>
                </c:pt>
                <c:pt idx="10">
                  <c:v>190.05316793032472</c:v>
                </c:pt>
                <c:pt idx="11">
                  <c:v>195.94442302026033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04-4135-A14A-4C7C78303812}"/>
            </c:ext>
          </c:extLst>
        </c:ser>
        <c:ser>
          <c:idx val="2"/>
          <c:order val="2"/>
          <c:tx>
            <c:strRef>
              <c:f>'03_初始参数确定'!$Y$3</c:f>
              <c:strCache>
                <c:ptCount val="1"/>
                <c:pt idx="0">
                  <c:v>起飞需求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'03_初始参数确定'!$V$4:$V$15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'03_初始参数确定'!$Y$4:$Y$15</c:f>
              <c:numCache>
                <c:formatCode>0.000_ </c:formatCode>
                <c:ptCount val="12"/>
                <c:pt idx="0">
                  <c:v>137.85042361815459</c:v>
                </c:pt>
                <c:pt idx="1">
                  <c:v>130.71460735771137</c:v>
                </c:pt>
                <c:pt idx="2">
                  <c:v>128.33600193756362</c:v>
                </c:pt>
                <c:pt idx="3">
                  <c:v>127.14669922748975</c:v>
                </c:pt>
                <c:pt idx="4">
                  <c:v>126.4331176014454</c:v>
                </c:pt>
                <c:pt idx="5">
                  <c:v>125.95739651741587</c:v>
                </c:pt>
                <c:pt idx="6">
                  <c:v>125.61759574310906</c:v>
                </c:pt>
                <c:pt idx="7">
                  <c:v>125.36274516237893</c:v>
                </c:pt>
                <c:pt idx="8">
                  <c:v>125.16452804403326</c:v>
                </c:pt>
                <c:pt idx="9">
                  <c:v>125.00595434935676</c:v>
                </c:pt>
                <c:pt idx="10">
                  <c:v>124.87621223553055</c:v>
                </c:pt>
                <c:pt idx="11">
                  <c:v>124.768093807342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04-4135-A14A-4C7C78303812}"/>
            </c:ext>
          </c:extLst>
        </c:ser>
        <c:ser>
          <c:idx val="3"/>
          <c:order val="3"/>
          <c:tx>
            <c:strRef>
              <c:f>'03_初始参数确定'!$Z$3</c:f>
              <c:strCache>
                <c:ptCount val="1"/>
                <c:pt idx="0">
                  <c:v>空速需求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'03_初始参数确定'!$V$4:$V$15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'03_初始参数确定'!$Z$4:$Z$15</c:f>
              <c:numCache>
                <c:formatCode>0.000_ </c:formatCode>
                <c:ptCount val="12"/>
                <c:pt idx="0">
                  <c:v>349.12092782094658</c:v>
                </c:pt>
                <c:pt idx="1">
                  <c:v>181.06691569263648</c:v>
                </c:pt>
                <c:pt idx="2">
                  <c:v>127.94066799749454</c:v>
                </c:pt>
                <c:pt idx="3">
                  <c:v>103.54636141064466</c:v>
                </c:pt>
                <c:pt idx="4">
                  <c:v>90.64483126711157</c:v>
                </c:pt>
                <c:pt idx="5">
                  <c:v>83.489689345236897</c:v>
                </c:pt>
                <c:pt idx="6">
                  <c:v>79.618197835738442</c:v>
                </c:pt>
                <c:pt idx="7">
                  <c:v>77.798987833975147</c:v>
                </c:pt>
                <c:pt idx="8">
                  <c:v>77.347965504035301</c:v>
                </c:pt>
                <c:pt idx="9">
                  <c:v>77.854674544371818</c:v>
                </c:pt>
                <c:pt idx="10">
                  <c:v>79.057915490363911</c:v>
                </c:pt>
                <c:pt idx="11">
                  <c:v>80.783555365597664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04-4135-A14A-4C7C78303812}"/>
            </c:ext>
          </c:extLst>
        </c:ser>
        <c:ser>
          <c:idx val="4"/>
          <c:order val="4"/>
          <c:tx>
            <c:strRef>
              <c:f>'03_初始参数确定'!$AA$3</c:f>
              <c:strCache>
                <c:ptCount val="1"/>
                <c:pt idx="0">
                  <c:v>实用升限需求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'03_初始参数确定'!$V$4:$V$15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'03_初始参数确定'!$AA$4:$AA$15</c:f>
              <c:numCache>
                <c:formatCode>0.000_ </c:formatCode>
                <c:ptCount val="12"/>
                <c:pt idx="0">
                  <c:v>35.181715491688507</c:v>
                </c:pt>
                <c:pt idx="1">
                  <c:v>46.61585006646137</c:v>
                </c:pt>
                <c:pt idx="2">
                  <c:v>55.389570109867933</c:v>
                </c:pt>
                <c:pt idx="3">
                  <c:v>62.786158256104287</c:v>
                </c:pt>
                <c:pt idx="4">
                  <c:v>69.302683229508631</c:v>
                </c:pt>
                <c:pt idx="5">
                  <c:v>75.194072133954492</c:v>
                </c:pt>
                <c:pt idx="6">
                  <c:v>80.611763362433237</c:v>
                </c:pt>
                <c:pt idx="7">
                  <c:v>85.654427405650026</c:v>
                </c:pt>
                <c:pt idx="8">
                  <c:v>90.39060102052008</c:v>
                </c:pt>
                <c:pt idx="9">
                  <c:v>94.870185402581413</c:v>
                </c:pt>
                <c:pt idx="10">
                  <c:v>99.130851923680851</c:v>
                </c:pt>
                <c:pt idx="11">
                  <c:v>103.20186749246314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04-4135-A14A-4C7C7830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72255"/>
        <c:axId val="117479935"/>
      </c:scatterChart>
      <c:valAx>
        <c:axId val="117472255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5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zh-CN" sz="1050" b="0" i="0" baseline="0">
                    <a:effectLst/>
                  </a:rPr>
                  <a:t>翼载荷</a:t>
                </a:r>
                <a:r>
                  <a:rPr lang="en-US" altLang="zh-CN" sz="1050" b="0" i="0" baseline="0">
                    <a:effectLst/>
                  </a:rPr>
                  <a:t>W/S(lbf/ft</a:t>
                </a:r>
                <a:r>
                  <a:rPr lang="en-US" altLang="zh-CN" sz="1050" b="0" i="0" baseline="30000">
                    <a:effectLst/>
                  </a:rPr>
                  <a:t>2</a:t>
                </a:r>
                <a:r>
                  <a:rPr lang="en-US" altLang="zh-CN" sz="1050" b="0" i="0" baseline="0">
                    <a:effectLst/>
                  </a:rPr>
                  <a:t>)</a:t>
                </a:r>
                <a:endParaRPr lang="zh-CN" altLang="zh-CN" sz="1050">
                  <a:effectLst/>
                </a:endParaRPr>
              </a:p>
            </c:rich>
          </c:tx>
          <c:layout>
            <c:manualLayout>
              <c:xMode val="edge"/>
              <c:yMode val="edge"/>
              <c:x val="0.34660301837270341"/>
              <c:y val="0.872453703703703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5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479935"/>
        <c:crosses val="autoZero"/>
        <c:crossBetween val="midCat"/>
      </c:valAx>
      <c:valAx>
        <c:axId val="11747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所需制动马力</a:t>
                </a:r>
                <a:r>
                  <a:rPr lang="en-US" altLang="zh-CN"/>
                  <a:t>BHP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472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altLang="zh-CN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不同条件下对</a:t>
            </a:r>
            <a:r>
              <a:rPr lang="en-US"/>
              <a:t>BHP</a:t>
            </a:r>
            <a:r>
              <a:rPr lang="zh-CN"/>
              <a:t>的需求</a:t>
            </a:r>
            <a:r>
              <a:rPr lang="en-US"/>
              <a:t>--</a:t>
            </a:r>
            <a:r>
              <a:rPr lang="zh-CN"/>
              <a:t>想对面平面进行归一化处理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altLang="zh-CN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4943285214348206"/>
          <c:y val="0.13914368621444159"/>
          <c:w val="0.56799974509276574"/>
          <c:h val="0.654367181524791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'03_初始参数确定'!$AD$3</c:f>
              <c:strCache>
                <c:ptCount val="1"/>
                <c:pt idx="0">
                  <c:v>转弯需求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'03_初始参数确定'!$AD$4:$AD$15</c:f>
              <c:numCache>
                <c:formatCode>0.000_ </c:formatCode>
                <c:ptCount val="12"/>
                <c:pt idx="0">
                  <c:v>477.90110317132252</c:v>
                </c:pt>
                <c:pt idx="1">
                  <c:v>273.29631235076022</c:v>
                </c:pt>
                <c:pt idx="2">
                  <c:v>220.35949797283894</c:v>
                </c:pt>
                <c:pt idx="3">
                  <c:v>205.33967770557794</c:v>
                </c:pt>
                <c:pt idx="4">
                  <c:v>205.48665508258105</c:v>
                </c:pt>
                <c:pt idx="5">
                  <c:v>213.2170312817162</c:v>
                </c:pt>
                <c:pt idx="6">
                  <c:v>225.28077823635536</c:v>
                </c:pt>
                <c:pt idx="7">
                  <c:v>240.05288191318468</c:v>
                </c:pt>
                <c:pt idx="8">
                  <c:v>256.63055673814057</c:v>
                </c:pt>
                <c:pt idx="9">
                  <c:v>274.47213136678516</c:v>
                </c:pt>
                <c:pt idx="10">
                  <c:v>293.23290585265784</c:v>
                </c:pt>
                <c:pt idx="11">
                  <c:v>312.68308023145164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6E-404A-920F-D4D35D05B73D}"/>
            </c:ext>
          </c:extLst>
        </c:ser>
        <c:ser>
          <c:idx val="1"/>
          <c:order val="1"/>
          <c:tx>
            <c:strRef>
              <c:f>'03_初始参数确定'!$AE$3</c:f>
              <c:strCache>
                <c:ptCount val="1"/>
                <c:pt idx="0">
                  <c:v>爬升需求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'03_初始参数确定'!$AE$4:$AE$15</c:f>
              <c:numCache>
                <c:formatCode>0.000_ </c:formatCode>
                <c:ptCount val="12"/>
                <c:pt idx="0">
                  <c:v>186.57284166071958</c:v>
                </c:pt>
                <c:pt idx="1">
                  <c:v>159.70869128762021</c:v>
                </c:pt>
                <c:pt idx="2">
                  <c:v>155.01743076642148</c:v>
                </c:pt>
                <c:pt idx="3">
                  <c:v>155.86939270819792</c:v>
                </c:pt>
                <c:pt idx="4">
                  <c:v>158.9386436351644</c:v>
                </c:pt>
                <c:pt idx="5">
                  <c:v>163.11653905472591</c:v>
                </c:pt>
                <c:pt idx="6">
                  <c:v>167.92794561291319</c:v>
                </c:pt>
                <c:pt idx="7">
                  <c:v>173.13529663274156</c:v>
                </c:pt>
                <c:pt idx="8">
                  <c:v>178.60661062699728</c:v>
                </c:pt>
                <c:pt idx="9">
                  <c:v>184.26269870335219</c:v>
                </c:pt>
                <c:pt idx="10">
                  <c:v>190.05316793032472</c:v>
                </c:pt>
                <c:pt idx="11">
                  <c:v>195.94442302026033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6E-404A-920F-D4D35D05B73D}"/>
            </c:ext>
          </c:extLst>
        </c:ser>
        <c:ser>
          <c:idx val="2"/>
          <c:order val="2"/>
          <c:tx>
            <c:strRef>
              <c:f>'03_初始参数确定'!$AF$3</c:f>
              <c:strCache>
                <c:ptCount val="1"/>
                <c:pt idx="0">
                  <c:v>起飞需求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'03_初始参数确定'!$AF$4:$AF$15</c:f>
              <c:numCache>
                <c:formatCode>0.000_ </c:formatCode>
                <c:ptCount val="12"/>
                <c:pt idx="0">
                  <c:v>137.85042361815459</c:v>
                </c:pt>
                <c:pt idx="1">
                  <c:v>130.71460735771137</c:v>
                </c:pt>
                <c:pt idx="2">
                  <c:v>128.33600193756362</c:v>
                </c:pt>
                <c:pt idx="3">
                  <c:v>127.14669922748975</c:v>
                </c:pt>
                <c:pt idx="4">
                  <c:v>126.4331176014454</c:v>
                </c:pt>
                <c:pt idx="5">
                  <c:v>125.95739651741587</c:v>
                </c:pt>
                <c:pt idx="6">
                  <c:v>125.61759574310906</c:v>
                </c:pt>
                <c:pt idx="7">
                  <c:v>125.36274516237893</c:v>
                </c:pt>
                <c:pt idx="8">
                  <c:v>125.16452804403326</c:v>
                </c:pt>
                <c:pt idx="9">
                  <c:v>125.00595434935676</c:v>
                </c:pt>
                <c:pt idx="10">
                  <c:v>124.87621223553055</c:v>
                </c:pt>
                <c:pt idx="11">
                  <c:v>124.768093807342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6E-404A-920F-D4D35D05B73D}"/>
            </c:ext>
          </c:extLst>
        </c:ser>
        <c:ser>
          <c:idx val="3"/>
          <c:order val="3"/>
          <c:tx>
            <c:strRef>
              <c:f>'03_初始参数确定'!$AG$3</c:f>
              <c:strCache>
                <c:ptCount val="1"/>
                <c:pt idx="0">
                  <c:v>空速需求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'03_初始参数确定'!$AG$4:$AG$15</c:f>
              <c:numCache>
                <c:formatCode>0.000_ </c:formatCode>
                <c:ptCount val="12"/>
                <c:pt idx="0">
                  <c:v>460.72822278877311</c:v>
                </c:pt>
                <c:pt idx="1">
                  <c:v>238.95055158566126</c:v>
                </c:pt>
                <c:pt idx="2">
                  <c:v>168.84085682519054</c:v>
                </c:pt>
                <c:pt idx="3">
                  <c:v>136.64815617538011</c:v>
                </c:pt>
                <c:pt idx="4">
                  <c:v>119.62225316983374</c:v>
                </c:pt>
                <c:pt idx="5">
                  <c:v>110.17974898641947</c:v>
                </c:pt>
                <c:pt idx="6">
                  <c:v>105.07061555850919</c:v>
                </c:pt>
                <c:pt idx="7">
                  <c:v>102.66983885278896</c:v>
                </c:pt>
                <c:pt idx="8">
                  <c:v>102.07463329519543</c:v>
                </c:pt>
                <c:pt idx="9">
                  <c:v>102.74332754129053</c:v>
                </c:pt>
                <c:pt idx="10">
                  <c:v>104.33122164461376</c:v>
                </c:pt>
                <c:pt idx="11">
                  <c:v>106.60851564085807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6E-404A-920F-D4D35D05B73D}"/>
            </c:ext>
          </c:extLst>
        </c:ser>
        <c:ser>
          <c:idx val="4"/>
          <c:order val="4"/>
          <c:tx>
            <c:strRef>
              <c:f>'03_初始参数确定'!$AH$3</c:f>
              <c:strCache>
                <c:ptCount val="1"/>
                <c:pt idx="0">
                  <c:v>实用升限需求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'03_初始参数确定'!$AH$4:$AH$15</c:f>
              <c:numCache>
                <c:formatCode>0.000_ </c:formatCode>
                <c:ptCount val="12"/>
                <c:pt idx="0">
                  <c:v>74.676474308970128</c:v>
                </c:pt>
                <c:pt idx="1">
                  <c:v>98.946491983919856</c:v>
                </c:pt>
                <c:pt idx="2">
                  <c:v>117.5695315446352</c:v>
                </c:pt>
                <c:pt idx="3">
                  <c:v>133.26948013886852</c:v>
                </c:pt>
                <c:pt idx="4">
                  <c:v>147.10141252076605</c:v>
                </c:pt>
                <c:pt idx="5">
                  <c:v>159.60643525824281</c:v>
                </c:pt>
                <c:pt idx="6">
                  <c:v>171.10599047274064</c:v>
                </c:pt>
                <c:pt idx="7">
                  <c:v>181.80951548876803</c:v>
                </c:pt>
                <c:pt idx="8">
                  <c:v>191.86248596876695</c:v>
                </c:pt>
                <c:pt idx="9">
                  <c:v>201.37082185707504</c:v>
                </c:pt>
                <c:pt idx="10">
                  <c:v>210.41448415595124</c:v>
                </c:pt>
                <c:pt idx="11">
                  <c:v>219.05559461019865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C6E-404A-920F-D4D35D05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362111"/>
        <c:axId val="1804362591"/>
      </c:scatterChart>
      <c:scatterChart>
        <c:scatterStyle val="smoothMarker"/>
        <c:varyColors val="0"/>
        <c:ser>
          <c:idx val="5"/>
          <c:order val="5"/>
          <c:tx>
            <c:strRef>
              <c:f>'03_初始参数确定'!$AI$3</c:f>
              <c:strCache>
                <c:ptCount val="1"/>
                <c:pt idx="0">
                  <c:v>45KCAS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'03_初始参数确定'!$AI$4:$AI$15</c:f>
              <c:numCache>
                <c:formatCode>0.000_ </c:formatCode>
                <c:ptCount val="12"/>
                <c:pt idx="0">
                  <c:v>0.72881656935126538</c:v>
                </c:pt>
                <c:pt idx="1">
                  <c:v>1.4576331387025308</c:v>
                </c:pt>
                <c:pt idx="2">
                  <c:v>2.1864497080537961</c:v>
                </c:pt>
                <c:pt idx="3">
                  <c:v>2.9152662774050615</c:v>
                </c:pt>
                <c:pt idx="4">
                  <c:v>3.6440828467563269</c:v>
                </c:pt>
                <c:pt idx="5">
                  <c:v>4.3728994161075923</c:v>
                </c:pt>
                <c:pt idx="6">
                  <c:v>5.1017159854588572</c:v>
                </c:pt>
                <c:pt idx="7">
                  <c:v>5.830532554810123</c:v>
                </c:pt>
                <c:pt idx="8">
                  <c:v>6.5593491241613879</c:v>
                </c:pt>
                <c:pt idx="9">
                  <c:v>7.2881656935126538</c:v>
                </c:pt>
                <c:pt idx="10">
                  <c:v>8.0169822628639196</c:v>
                </c:pt>
                <c:pt idx="11">
                  <c:v>8.7457988322151845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C6E-404A-920F-D4D35D05B73D}"/>
            </c:ext>
          </c:extLst>
        </c:ser>
        <c:ser>
          <c:idx val="6"/>
          <c:order val="6"/>
          <c:tx>
            <c:strRef>
              <c:f>'03_初始参数确定'!$AJ$3</c:f>
              <c:strCache>
                <c:ptCount val="1"/>
                <c:pt idx="0">
                  <c:v>50KCAS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'03_初始参数确定'!$AJ$4:$AJ$15</c:f>
              <c:numCache>
                <c:formatCode>0.000_ </c:formatCode>
                <c:ptCount val="12"/>
                <c:pt idx="0">
                  <c:v>0.59034142117452493</c:v>
                </c:pt>
                <c:pt idx="1">
                  <c:v>1.1806828423490499</c:v>
                </c:pt>
                <c:pt idx="2">
                  <c:v>1.7710242635235747</c:v>
                </c:pt>
                <c:pt idx="3">
                  <c:v>2.3613656846980997</c:v>
                </c:pt>
                <c:pt idx="4">
                  <c:v>2.9517071058726243</c:v>
                </c:pt>
                <c:pt idx="5">
                  <c:v>3.5420485270471493</c:v>
                </c:pt>
                <c:pt idx="6">
                  <c:v>4.1323899482216744</c:v>
                </c:pt>
                <c:pt idx="7">
                  <c:v>4.7227313693961994</c:v>
                </c:pt>
                <c:pt idx="8">
                  <c:v>5.3130727905707245</c:v>
                </c:pt>
                <c:pt idx="9">
                  <c:v>5.9034142117452486</c:v>
                </c:pt>
                <c:pt idx="10">
                  <c:v>6.4937556329197736</c:v>
                </c:pt>
                <c:pt idx="11">
                  <c:v>7.0840970540942987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C6E-404A-920F-D4D35D05B73D}"/>
            </c:ext>
          </c:extLst>
        </c:ser>
        <c:ser>
          <c:idx val="7"/>
          <c:order val="7"/>
          <c:tx>
            <c:strRef>
              <c:f>'03_初始参数确定'!$AK$3</c:f>
              <c:strCache>
                <c:ptCount val="1"/>
                <c:pt idx="0">
                  <c:v>55KCAS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'03_初始参数确定'!$AK$4:$AK$15</c:f>
              <c:numCache>
                <c:formatCode>0.000_ </c:formatCode>
                <c:ptCount val="12"/>
                <c:pt idx="0">
                  <c:v>0.48788547204506183</c:v>
                </c:pt>
                <c:pt idx="1">
                  <c:v>0.97577094409012366</c:v>
                </c:pt>
                <c:pt idx="2">
                  <c:v>1.4636564161351855</c:v>
                </c:pt>
                <c:pt idx="3">
                  <c:v>1.9515418881802473</c:v>
                </c:pt>
                <c:pt idx="4">
                  <c:v>2.4394273602253094</c:v>
                </c:pt>
                <c:pt idx="5">
                  <c:v>2.927312832270371</c:v>
                </c:pt>
                <c:pt idx="6">
                  <c:v>3.415198304315433</c:v>
                </c:pt>
                <c:pt idx="7">
                  <c:v>3.9030837763604946</c:v>
                </c:pt>
                <c:pt idx="8">
                  <c:v>4.3909692484055567</c:v>
                </c:pt>
                <c:pt idx="9">
                  <c:v>4.8788547204506187</c:v>
                </c:pt>
                <c:pt idx="10">
                  <c:v>5.3667401924956799</c:v>
                </c:pt>
                <c:pt idx="11">
                  <c:v>5.854625664540742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C6E-404A-920F-D4D35D05B73D}"/>
            </c:ext>
          </c:extLst>
        </c:ser>
        <c:ser>
          <c:idx val="8"/>
          <c:order val="8"/>
          <c:tx>
            <c:strRef>
              <c:f>'03_初始参数确定'!$AL$3</c:f>
              <c:strCache>
                <c:ptCount val="1"/>
                <c:pt idx="0">
                  <c:v>60KCAS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'03_初始参数确定'!$AL$4:$AL$15</c:f>
              <c:numCache>
                <c:formatCode>0.000_ </c:formatCode>
                <c:ptCount val="12"/>
                <c:pt idx="0">
                  <c:v>0.40995932026008663</c:v>
                </c:pt>
                <c:pt idx="1">
                  <c:v>0.81991864052017327</c:v>
                </c:pt>
                <c:pt idx="2">
                  <c:v>1.2298779607802599</c:v>
                </c:pt>
                <c:pt idx="3">
                  <c:v>1.6398372810403465</c:v>
                </c:pt>
                <c:pt idx="4">
                  <c:v>2.0497966013004332</c:v>
                </c:pt>
                <c:pt idx="5">
                  <c:v>2.4597559215605198</c:v>
                </c:pt>
                <c:pt idx="6">
                  <c:v>2.8697152418206064</c:v>
                </c:pt>
                <c:pt idx="7">
                  <c:v>3.2796745620806931</c:v>
                </c:pt>
                <c:pt idx="8">
                  <c:v>3.6896338823407802</c:v>
                </c:pt>
                <c:pt idx="9">
                  <c:v>4.0995932026008663</c:v>
                </c:pt>
                <c:pt idx="10">
                  <c:v>4.509552522860953</c:v>
                </c:pt>
                <c:pt idx="11">
                  <c:v>4.9195118431210396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C6E-404A-920F-D4D35D05B73D}"/>
            </c:ext>
          </c:extLst>
        </c:ser>
        <c:ser>
          <c:idx val="9"/>
          <c:order val="9"/>
          <c:tx>
            <c:strRef>
              <c:f>'03_初始参数确定'!$AM$3</c:f>
              <c:strCache>
                <c:ptCount val="1"/>
                <c:pt idx="0">
                  <c:v>61KCAS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'03_初始参数确定'!$AM$4:$AM$15</c:f>
              <c:numCache>
                <c:formatCode>0.000_ </c:formatCode>
                <c:ptCount val="12"/>
                <c:pt idx="0">
                  <c:v>0.39662820557277934</c:v>
                </c:pt>
                <c:pt idx="1">
                  <c:v>0.79325641114555867</c:v>
                </c:pt>
                <c:pt idx="2">
                  <c:v>1.1898846167183379</c:v>
                </c:pt>
                <c:pt idx="3">
                  <c:v>1.5865128222911173</c:v>
                </c:pt>
                <c:pt idx="4">
                  <c:v>1.9831410278638968</c:v>
                </c:pt>
                <c:pt idx="5">
                  <c:v>2.3797692334366758</c:v>
                </c:pt>
                <c:pt idx="6">
                  <c:v>2.7763974390094552</c:v>
                </c:pt>
                <c:pt idx="7">
                  <c:v>3.1730256445822347</c:v>
                </c:pt>
                <c:pt idx="8">
                  <c:v>3.5696538501550141</c:v>
                </c:pt>
                <c:pt idx="9">
                  <c:v>3.9662820557277936</c:v>
                </c:pt>
                <c:pt idx="10">
                  <c:v>4.3629102613005726</c:v>
                </c:pt>
                <c:pt idx="11">
                  <c:v>4.7595384668733516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C6E-404A-920F-D4D35D05B73D}"/>
            </c:ext>
          </c:extLst>
        </c:ser>
        <c:ser>
          <c:idx val="10"/>
          <c:order val="10"/>
          <c:tx>
            <c:strRef>
              <c:f>'03_初始参数确定'!$AN$3</c:f>
              <c:strCache>
                <c:ptCount val="1"/>
                <c:pt idx="0">
                  <c:v>65KCAS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'03_初始参数确定'!$AN$4:$AN$15</c:f>
              <c:numCache>
                <c:formatCode>0.000_ </c:formatCode>
                <c:ptCount val="12"/>
                <c:pt idx="0">
                  <c:v>0.34931445039912712</c:v>
                </c:pt>
                <c:pt idx="1">
                  <c:v>0.69862890079825424</c:v>
                </c:pt>
                <c:pt idx="2">
                  <c:v>1.0479433511973812</c:v>
                </c:pt>
                <c:pt idx="3">
                  <c:v>1.3972578015965085</c:v>
                </c:pt>
                <c:pt idx="4">
                  <c:v>1.7465722519956355</c:v>
                </c:pt>
                <c:pt idx="5">
                  <c:v>2.0958867023947625</c:v>
                </c:pt>
                <c:pt idx="6">
                  <c:v>2.4452011527938899</c:v>
                </c:pt>
                <c:pt idx="7">
                  <c:v>2.794515603193017</c:v>
                </c:pt>
                <c:pt idx="8">
                  <c:v>3.143830053592144</c:v>
                </c:pt>
                <c:pt idx="9">
                  <c:v>3.493144503991271</c:v>
                </c:pt>
                <c:pt idx="10">
                  <c:v>3.842458954390398</c:v>
                </c:pt>
                <c:pt idx="11">
                  <c:v>4.191773404789525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C6E-404A-920F-D4D35D05B73D}"/>
            </c:ext>
          </c:extLst>
        </c:ser>
        <c:ser>
          <c:idx val="11"/>
          <c:order val="11"/>
          <c:tx>
            <c:strRef>
              <c:f>'03_初始参数确定'!$AO$3</c:f>
              <c:strCache>
                <c:ptCount val="1"/>
                <c:pt idx="0">
                  <c:v>70KCAS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'03_初始参数确定'!$AC$4:$AC$15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'03_初始参数确定'!$AO$4:$AO$15</c:f>
              <c:numCache>
                <c:formatCode>0.000_ </c:formatCode>
                <c:ptCount val="12"/>
                <c:pt idx="0">
                  <c:v>0.3011946026400637</c:v>
                </c:pt>
                <c:pt idx="1">
                  <c:v>0.6023892052801274</c:v>
                </c:pt>
                <c:pt idx="2">
                  <c:v>0.90358380792019122</c:v>
                </c:pt>
                <c:pt idx="3">
                  <c:v>1.2047784105602548</c:v>
                </c:pt>
                <c:pt idx="4">
                  <c:v>1.5059730132003186</c:v>
                </c:pt>
                <c:pt idx="5">
                  <c:v>1.8071676158403824</c:v>
                </c:pt>
                <c:pt idx="6">
                  <c:v>2.1083622184804462</c:v>
                </c:pt>
                <c:pt idx="7">
                  <c:v>2.4095568211205096</c:v>
                </c:pt>
                <c:pt idx="8">
                  <c:v>2.7107514237605734</c:v>
                </c:pt>
                <c:pt idx="9">
                  <c:v>3.0119460264006372</c:v>
                </c:pt>
                <c:pt idx="10">
                  <c:v>3.3131406290407011</c:v>
                </c:pt>
                <c:pt idx="11">
                  <c:v>3.6143352316807649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C6E-404A-920F-D4D35D05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0095"/>
        <c:axId val="117483295"/>
      </c:scatterChart>
      <c:valAx>
        <c:axId val="180436211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alt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翼载荷</a:t>
                </a:r>
                <a:r>
                  <a:rPr lang="en-US"/>
                  <a:t>W/S(lbf/ft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altLang="zh-CN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4362591"/>
        <c:crosses val="autoZero"/>
        <c:crossBetween val="midCat"/>
        <c:majorUnit val="10"/>
      </c:valAx>
      <c:valAx>
        <c:axId val="1804362591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alt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所需制动马力</a:t>
                </a:r>
                <a:r>
                  <a:rPr lang="en-US"/>
                  <a:t>BHP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altLang="zh-CN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4362111"/>
        <c:crosses val="autoZero"/>
        <c:crossBetween val="midCat"/>
      </c:valAx>
      <c:valAx>
        <c:axId val="117483295"/>
        <c:scaling>
          <c:orientation val="minMax"/>
          <c:max val="3"/>
        </c:scaling>
        <c:delete val="0"/>
        <c:axPos val="r"/>
        <c:numFmt formatCode="0.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500095"/>
        <c:crosses val="max"/>
        <c:crossBetween val="midCat"/>
      </c:valAx>
      <c:valAx>
        <c:axId val="1175000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483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0.79200678737179997"/>
          <c:y val="0.18554272411293116"/>
          <c:w val="0.15426993675742409"/>
          <c:h val="0.3972925983271198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alt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altLang="zh-CN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</a:t>
            </a:r>
            <a:r>
              <a:rPr lang="en-US" altLang="zh-CN" baseline="-25000"/>
              <a:t>O</a:t>
            </a:r>
            <a:r>
              <a:rPr lang="en-US" altLang="zh-CN"/>
              <a:t>=3400lbf, C</a:t>
            </a:r>
            <a:r>
              <a:rPr lang="en-US" altLang="zh-CN" baseline="-25000"/>
              <a:t>Dmin</a:t>
            </a:r>
            <a:r>
              <a:rPr lang="en-US" altLang="zh-CN"/>
              <a:t>=0.025,</a:t>
            </a:r>
            <a:r>
              <a:rPr lang="en-US" altLang="zh-CN" baseline="0"/>
              <a:t> AR=10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5805436137959711"/>
          <c:y val="0.10505158297796303"/>
          <c:w val="0.7894932219585773"/>
          <c:h val="0.735311844874604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'03_初始参数确定'!$B$61</c:f>
              <c:strCache>
                <c:ptCount val="1"/>
                <c:pt idx="0">
                  <c:v>1.7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'03_初始参数确定'!$C$61:$K$61</c:f>
              <c:numCache>
                <c:formatCode>0_ </c:formatCode>
                <c:ptCount val="7"/>
                <c:pt idx="0">
                  <c:v>70.13923184011243</c:v>
                </c:pt>
                <c:pt idx="1">
                  <c:v>67.387594223185118</c:v>
                </c:pt>
                <c:pt idx="2">
                  <c:v>64.936310620183008</c:v>
                </c:pt>
                <c:pt idx="3">
                  <c:v>62.734436113643618</c:v>
                </c:pt>
                <c:pt idx="4">
                  <c:v>60.742356575463717</c:v>
                </c:pt>
                <c:pt idx="5">
                  <c:v>58.928741672839607</c:v>
                </c:pt>
                <c:pt idx="6">
                  <c:v>57.268442986348887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2B83-40C5-9BF1-216C560528E2}"/>
            </c:ext>
          </c:extLst>
        </c:ser>
        <c:ser>
          <c:idx val="1"/>
          <c:order val="1"/>
          <c:tx>
            <c:strRef>
              <c:f>'03_初始参数确定'!$B$62</c:f>
              <c:strCache>
                <c:ptCount val="1"/>
                <c:pt idx="0">
                  <c:v>1.8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'03_初始参数确定'!$C$62:$K$62</c:f>
              <c:numCache>
                <c:formatCode>0_ </c:formatCode>
                <c:ptCount val="7"/>
                <c:pt idx="0">
                  <c:v>68.163081133516215</c:v>
                </c:pt>
                <c:pt idx="1">
                  <c:v>65.488970037457918</c:v>
                </c:pt>
                <c:pt idx="2">
                  <c:v>63.106750575836507</c:v>
                </c:pt>
                <c:pt idx="3">
                  <c:v>60.966913188150286</c:v>
                </c:pt>
                <c:pt idx="4">
                  <c:v>59.030959861844842</c:v>
                </c:pt>
                <c:pt idx="5">
                  <c:v>57.268442986348887</c:v>
                </c:pt>
                <c:pt idx="6">
                  <c:v>55.654922691015187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B83-40C5-9BF1-216C560528E2}"/>
            </c:ext>
          </c:extLst>
        </c:ser>
        <c:ser>
          <c:idx val="2"/>
          <c:order val="2"/>
          <c:tx>
            <c:strRef>
              <c:f>'03_初始参数确定'!$B$63</c:f>
              <c:strCache>
                <c:ptCount val="1"/>
                <c:pt idx="0">
                  <c:v>1.9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'03_初始参数确定'!$C$63:$K$63</c:f>
              <c:numCache>
                <c:formatCode>0_ </c:formatCode>
                <c:ptCount val="7"/>
                <c:pt idx="0">
                  <c:v>66.345071340782823</c:v>
                </c:pt>
                <c:pt idx="1">
                  <c:v>63.742282727198102</c:v>
                </c:pt>
                <c:pt idx="2">
                  <c:v>61.423600568140593</c:v>
                </c:pt>
                <c:pt idx="3">
                  <c:v>59.340835796025409</c:v>
                </c:pt>
                <c:pt idx="4">
                  <c:v>57.456517197008836</c:v>
                </c:pt>
                <c:pt idx="5">
                  <c:v>55.741009243149414</c:v>
                </c:pt>
                <c:pt idx="6">
                  <c:v>54.170523911155243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2B83-40C5-9BF1-216C560528E2}"/>
            </c:ext>
          </c:extLst>
        </c:ser>
        <c:ser>
          <c:idx val="3"/>
          <c:order val="3"/>
          <c:tx>
            <c:strRef>
              <c:f>'03_初始参数确定'!$B$64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'03_初始参数确定'!$C$64:$K$64</c:f>
              <c:numCache>
                <c:formatCode>0_ </c:formatCode>
                <c:ptCount val="7"/>
                <c:pt idx="0">
                  <c:v>64.665176615028926</c:v>
                </c:pt>
                <c:pt idx="1">
                  <c:v>62.12829208106686</c:v>
                </c:pt>
                <c:pt idx="2">
                  <c:v>59.868320265535743</c:v>
                </c:pt>
                <c:pt idx="3">
                  <c:v>57.838292275293774</c:v>
                </c:pt>
                <c:pt idx="4">
                  <c:v>56.001685688822469</c:v>
                </c:pt>
                <c:pt idx="5">
                  <c:v>54.329615366507284</c:v>
                </c:pt>
                <c:pt idx="6">
                  <c:v>52.798895611258665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2B83-40C5-9BF1-216C560528E2}"/>
            </c:ext>
          </c:extLst>
        </c:ser>
        <c:ser>
          <c:idx val="4"/>
          <c:order val="4"/>
          <c:tx>
            <c:strRef>
              <c:f>'03_初始参数确定'!$B$65</c:f>
              <c:strCache>
                <c:ptCount val="1"/>
                <c:pt idx="0">
                  <c:v>2.1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'03_初始参数确定'!$C$65:$K$65</c:f>
              <c:numCache>
                <c:formatCode>0_ </c:formatCode>
                <c:ptCount val="7"/>
                <c:pt idx="0">
                  <c:v>63.106750575836507</c:v>
                </c:pt>
                <c:pt idx="1">
                  <c:v>60.631004774080921</c:v>
                </c:pt>
                <c:pt idx="2">
                  <c:v>58.425498114442483</c:v>
                </c:pt>
                <c:pt idx="3">
                  <c:v>56.444393650677782</c:v>
                </c:pt>
                <c:pt idx="4">
                  <c:v>54.652049148962668</c:v>
                </c:pt>
                <c:pt idx="5">
                  <c:v>53.020275599440204</c:v>
                </c:pt>
                <c:pt idx="6">
                  <c:v>51.52644607862932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B83-40C5-9BF1-216C560528E2}"/>
            </c:ext>
          </c:extLst>
        </c:ser>
        <c:ser>
          <c:idx val="5"/>
          <c:order val="5"/>
          <c:tx>
            <c:strRef>
              <c:f>'03_初始参数确定'!$B$66</c:f>
              <c:strCache>
                <c:ptCount val="1"/>
                <c:pt idx="0">
                  <c:v>2.2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'03_初始参数确定'!$C$66:$K$66</c:f>
              <c:numCache>
                <c:formatCode>0_ </c:formatCode>
                <c:ptCount val="7"/>
                <c:pt idx="0">
                  <c:v>61.655826729389005</c:v>
                </c:pt>
                <c:pt idx="1">
                  <c:v>59.237002233020441</c:v>
                </c:pt>
                <c:pt idx="2">
                  <c:v>57.082203654162072</c:v>
                </c:pt>
                <c:pt idx="3">
                  <c:v>55.146647910344939</c:v>
                </c:pt>
                <c:pt idx="4">
                  <c:v>53.395512238982505</c:v>
                </c:pt>
                <c:pt idx="5">
                  <c:v>51.801255740067155</c:v>
                </c:pt>
                <c:pt idx="6">
                  <c:v>50.341771718818428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2B83-40C5-9BF1-216C560528E2}"/>
            </c:ext>
          </c:extLst>
        </c:ser>
        <c:ser>
          <c:idx val="6"/>
          <c:order val="6"/>
          <c:tx>
            <c:strRef>
              <c:f>'03_初始参数确定'!$B$67</c:f>
              <c:strCache>
                <c:ptCount val="1"/>
                <c:pt idx="0">
                  <c:v>2.3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'03_初始参数确定'!$D$70:$D$76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185.98484202018847</c:v>
                </c:pt>
                <c:pt idx="2">
                  <c:v>181.73223197177688</c:v>
                </c:pt>
                <c:pt idx="3">
                  <c:v>177.82247461978858</c:v>
                </c:pt>
                <c:pt idx="4">
                  <c:v>174.20668398599489</c:v>
                </c:pt>
                <c:pt idx="5">
                  <c:v>170.88326910660732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'03_初始参数确定'!$C$67:$K$67</c:f>
              <c:numCache>
                <c:formatCode>0_ </c:formatCode>
                <c:ptCount val="7"/>
                <c:pt idx="0">
                  <c:v>60.300588119223576</c:v>
                </c:pt>
                <c:pt idx="1">
                  <c:v>57.934931093353455</c:v>
                </c:pt>
                <c:pt idx="2">
                  <c:v>55.827496508883101</c:v>
                </c:pt>
                <c:pt idx="3">
                  <c:v>53.934485647120049</c:v>
                </c:pt>
                <c:pt idx="4">
                  <c:v>52.221841174389724</c:v>
                </c:pt>
                <c:pt idx="5">
                  <c:v>50.662627559114881</c:v>
                </c:pt>
                <c:pt idx="6">
                  <c:v>49.235224027277106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2B83-40C5-9BF1-216C560528E2}"/>
            </c:ext>
          </c:extLst>
        </c:ser>
        <c:ser>
          <c:idx val="7"/>
          <c:order val="7"/>
          <c:tx>
            <c:strRef>
              <c:f>'03_初始参数确定'!$C$60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'03_初始参数确定'!$B$79:$B$85</c:f>
              <c:numCache>
                <c:formatCode>0_);[Red]\(0\)</c:formatCode>
                <c:ptCount val="7"/>
                <c:pt idx="0">
                  <c:v>190.66075691114671</c:v>
                </c:pt>
                <c:pt idx="1">
                  <c:v>190.66075691114671</c:v>
                </c:pt>
                <c:pt idx="2">
                  <c:v>190.66075691114671</c:v>
                </c:pt>
                <c:pt idx="3">
                  <c:v>190.66075691114671</c:v>
                </c:pt>
                <c:pt idx="4">
                  <c:v>190.66075691114671</c:v>
                </c:pt>
                <c:pt idx="5">
                  <c:v>190.66075691114671</c:v>
                </c:pt>
                <c:pt idx="6">
                  <c:v>190.66075691114671</c:v>
                </c:pt>
              </c:numCache>
            </c:numRef>
          </c:xVal>
          <c:yVal>
            <c:numRef>
              <c:f>'03_初始参数确定'!$C$61:$C$67</c:f>
              <c:numCache>
                <c:formatCode>0_ </c:formatCode>
                <c:ptCount val="7"/>
                <c:pt idx="0">
                  <c:v>70.13923184011243</c:v>
                </c:pt>
                <c:pt idx="1">
                  <c:v>68.163081133516215</c:v>
                </c:pt>
                <c:pt idx="2">
                  <c:v>66.345071340782823</c:v>
                </c:pt>
                <c:pt idx="3">
                  <c:v>64.665176615028926</c:v>
                </c:pt>
                <c:pt idx="4">
                  <c:v>63.106750575836507</c:v>
                </c:pt>
                <c:pt idx="5">
                  <c:v>61.655826729389005</c:v>
                </c:pt>
                <c:pt idx="6">
                  <c:v>60.300588119223576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B83-40C5-9BF1-216C560528E2}"/>
            </c:ext>
          </c:extLst>
        </c:ser>
        <c:ser>
          <c:idx val="8"/>
          <c:order val="8"/>
          <c:tx>
            <c:strRef>
              <c:f>'03_初始参数确定'!$D$60</c:f>
              <c:strCache>
                <c:ptCount val="1"/>
                <c:pt idx="0">
                  <c:v>130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'03_初始参数确定'!$C$79:$C$85</c:f>
              <c:numCache>
                <c:formatCode>0_);[Red]\(0\)</c:formatCode>
                <c:ptCount val="7"/>
                <c:pt idx="0">
                  <c:v>185.98484202018847</c:v>
                </c:pt>
                <c:pt idx="1">
                  <c:v>185.98484202018847</c:v>
                </c:pt>
                <c:pt idx="2">
                  <c:v>185.98484202018847</c:v>
                </c:pt>
                <c:pt idx="3">
                  <c:v>185.98484202018847</c:v>
                </c:pt>
                <c:pt idx="4">
                  <c:v>185.98484202018847</c:v>
                </c:pt>
                <c:pt idx="5">
                  <c:v>185.98484202018847</c:v>
                </c:pt>
                <c:pt idx="6">
                  <c:v>185.98484202018847</c:v>
                </c:pt>
              </c:numCache>
            </c:numRef>
          </c:xVal>
          <c:yVal>
            <c:numRef>
              <c:f>'03_初始参数确定'!$D$61:$D$67</c:f>
              <c:numCache>
                <c:formatCode>0_ </c:formatCode>
                <c:ptCount val="7"/>
                <c:pt idx="0">
                  <c:v>67.387594223185118</c:v>
                </c:pt>
                <c:pt idx="1">
                  <c:v>65.488970037457918</c:v>
                </c:pt>
                <c:pt idx="2">
                  <c:v>63.742282727198102</c:v>
                </c:pt>
                <c:pt idx="3">
                  <c:v>62.12829208106686</c:v>
                </c:pt>
                <c:pt idx="4">
                  <c:v>60.631004774080921</c:v>
                </c:pt>
                <c:pt idx="5">
                  <c:v>59.237002233020441</c:v>
                </c:pt>
                <c:pt idx="6">
                  <c:v>57.934931093353455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2B83-40C5-9BF1-216C560528E2}"/>
            </c:ext>
          </c:extLst>
        </c:ser>
        <c:ser>
          <c:idx val="9"/>
          <c:order val="9"/>
          <c:tx>
            <c:strRef>
              <c:f>'03_初始参数确定'!$E$60</c:f>
              <c:strCache>
                <c:ptCount val="1"/>
                <c:pt idx="0">
                  <c:v>140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'03_初始参数确定'!$D$79:$D$85</c:f>
              <c:numCache>
                <c:formatCode>0_);[Red]\(0\)</c:formatCode>
                <c:ptCount val="7"/>
                <c:pt idx="0">
                  <c:v>181.73223197177688</c:v>
                </c:pt>
                <c:pt idx="1">
                  <c:v>181.73223197177688</c:v>
                </c:pt>
                <c:pt idx="2">
                  <c:v>181.73223197177688</c:v>
                </c:pt>
                <c:pt idx="3">
                  <c:v>181.73223197177688</c:v>
                </c:pt>
                <c:pt idx="4">
                  <c:v>181.73223197177688</c:v>
                </c:pt>
                <c:pt idx="5">
                  <c:v>181.73223197177688</c:v>
                </c:pt>
                <c:pt idx="6">
                  <c:v>181.73223197177688</c:v>
                </c:pt>
              </c:numCache>
            </c:numRef>
          </c:xVal>
          <c:yVal>
            <c:numRef>
              <c:f>'03_初始参数确定'!$E$61:$E$67</c:f>
              <c:numCache>
                <c:formatCode>0_ </c:formatCode>
                <c:ptCount val="7"/>
                <c:pt idx="0">
                  <c:v>64.936310620183008</c:v>
                </c:pt>
                <c:pt idx="1">
                  <c:v>63.106750575836507</c:v>
                </c:pt>
                <c:pt idx="2">
                  <c:v>61.423600568140593</c:v>
                </c:pt>
                <c:pt idx="3">
                  <c:v>59.868320265535743</c:v>
                </c:pt>
                <c:pt idx="4">
                  <c:v>58.425498114442483</c:v>
                </c:pt>
                <c:pt idx="5">
                  <c:v>57.082203654162072</c:v>
                </c:pt>
                <c:pt idx="6">
                  <c:v>55.827496508883101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2B83-40C5-9BF1-216C560528E2}"/>
            </c:ext>
          </c:extLst>
        </c:ser>
        <c:ser>
          <c:idx val="10"/>
          <c:order val="10"/>
          <c:tx>
            <c:strRef>
              <c:f>'03_初始参数确定'!$H$60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'03_初始参数确定'!$E$79:$E$85</c:f>
              <c:numCache>
                <c:formatCode>0_);[Red]\(0\)</c:formatCode>
                <c:ptCount val="7"/>
                <c:pt idx="0">
                  <c:v>177.82247461978858</c:v>
                </c:pt>
                <c:pt idx="1">
                  <c:v>177.82247461978858</c:v>
                </c:pt>
                <c:pt idx="2">
                  <c:v>177.82247461978858</c:v>
                </c:pt>
                <c:pt idx="3">
                  <c:v>177.82247461978858</c:v>
                </c:pt>
                <c:pt idx="4">
                  <c:v>177.82247461978858</c:v>
                </c:pt>
                <c:pt idx="5">
                  <c:v>177.82247461978858</c:v>
                </c:pt>
                <c:pt idx="6">
                  <c:v>177.82247461978858</c:v>
                </c:pt>
              </c:numCache>
            </c:numRef>
          </c:xVal>
          <c:yVal>
            <c:numRef>
              <c:f>'03_初始参数确定'!$H$61:$H$67</c:f>
              <c:numCache>
                <c:formatCode>0_ </c:formatCode>
                <c:ptCount val="7"/>
                <c:pt idx="0">
                  <c:v>62.734436113643618</c:v>
                </c:pt>
                <c:pt idx="1">
                  <c:v>60.966913188150286</c:v>
                </c:pt>
                <c:pt idx="2">
                  <c:v>59.340835796025409</c:v>
                </c:pt>
                <c:pt idx="3">
                  <c:v>57.838292275293774</c:v>
                </c:pt>
                <c:pt idx="4">
                  <c:v>56.444393650677782</c:v>
                </c:pt>
                <c:pt idx="5">
                  <c:v>55.146647910344939</c:v>
                </c:pt>
                <c:pt idx="6">
                  <c:v>53.934485647120049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2B83-40C5-9BF1-216C560528E2}"/>
            </c:ext>
          </c:extLst>
        </c:ser>
        <c:ser>
          <c:idx val="11"/>
          <c:order val="11"/>
          <c:tx>
            <c:strRef>
              <c:f>'03_初始参数确定'!$I$60</c:f>
              <c:strCache>
                <c:ptCount val="1"/>
                <c:pt idx="0">
                  <c:v>160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'03_初始参数确定'!$H$79:$H$85</c:f>
              <c:numCache>
                <c:formatCode>0_);[Red]\(0\)</c:formatCode>
                <c:ptCount val="7"/>
                <c:pt idx="0">
                  <c:v>174.20668398599489</c:v>
                </c:pt>
                <c:pt idx="1">
                  <c:v>174.20668398599489</c:v>
                </c:pt>
                <c:pt idx="2">
                  <c:v>174.20668398599489</c:v>
                </c:pt>
                <c:pt idx="3">
                  <c:v>174.20668398599489</c:v>
                </c:pt>
                <c:pt idx="4">
                  <c:v>174.20668398599489</c:v>
                </c:pt>
                <c:pt idx="5">
                  <c:v>174.20668398599489</c:v>
                </c:pt>
                <c:pt idx="6">
                  <c:v>174.20668398599489</c:v>
                </c:pt>
              </c:numCache>
            </c:numRef>
          </c:xVal>
          <c:yVal>
            <c:numRef>
              <c:f>'03_初始参数确定'!$I$61:$I$67</c:f>
              <c:numCache>
                <c:formatCode>0_ </c:formatCode>
                <c:ptCount val="7"/>
                <c:pt idx="0">
                  <c:v>60.742356575463717</c:v>
                </c:pt>
                <c:pt idx="1">
                  <c:v>59.030959861844842</c:v>
                </c:pt>
                <c:pt idx="2">
                  <c:v>57.456517197008836</c:v>
                </c:pt>
                <c:pt idx="3">
                  <c:v>56.001685688822469</c:v>
                </c:pt>
                <c:pt idx="4">
                  <c:v>54.652049148962668</c:v>
                </c:pt>
                <c:pt idx="5">
                  <c:v>53.395512238982505</c:v>
                </c:pt>
                <c:pt idx="6">
                  <c:v>52.221841174389724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B83-40C5-9BF1-216C560528E2}"/>
            </c:ext>
          </c:extLst>
        </c:ser>
        <c:ser>
          <c:idx val="12"/>
          <c:order val="12"/>
          <c:tx>
            <c:strRef>
              <c:f>'03_初始参数确定'!$J$60</c:f>
              <c:strCache>
                <c:ptCount val="1"/>
                <c:pt idx="0">
                  <c:v>170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'03_初始参数确定'!$I$79:$I$85</c:f>
              <c:numCache>
                <c:formatCode>0_);[Red]\(0\)</c:formatCode>
                <c:ptCount val="7"/>
                <c:pt idx="0">
                  <c:v>170.88326910660732</c:v>
                </c:pt>
                <c:pt idx="1">
                  <c:v>170.88326910660732</c:v>
                </c:pt>
                <c:pt idx="2">
                  <c:v>170.88326910660732</c:v>
                </c:pt>
                <c:pt idx="3">
                  <c:v>170.88326910660732</c:v>
                </c:pt>
                <c:pt idx="4">
                  <c:v>170.88326910660732</c:v>
                </c:pt>
                <c:pt idx="5">
                  <c:v>170.88326910660732</c:v>
                </c:pt>
                <c:pt idx="6">
                  <c:v>170.88326910660732</c:v>
                </c:pt>
              </c:numCache>
            </c:numRef>
          </c:xVal>
          <c:yVal>
            <c:numRef>
              <c:f>'03_初始参数确定'!$J$61:$J$67</c:f>
              <c:numCache>
                <c:formatCode>0_ </c:formatCode>
                <c:ptCount val="7"/>
                <c:pt idx="0">
                  <c:v>58.928741672839607</c:v>
                </c:pt>
                <c:pt idx="1">
                  <c:v>57.268442986348887</c:v>
                </c:pt>
                <c:pt idx="2">
                  <c:v>55.741009243149414</c:v>
                </c:pt>
                <c:pt idx="3">
                  <c:v>54.329615366507284</c:v>
                </c:pt>
                <c:pt idx="4">
                  <c:v>53.020275599440204</c:v>
                </c:pt>
                <c:pt idx="5">
                  <c:v>51.801255740067155</c:v>
                </c:pt>
                <c:pt idx="6">
                  <c:v>50.662627559114881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2B83-40C5-9BF1-216C560528E2}"/>
            </c:ext>
          </c:extLst>
        </c:ser>
        <c:ser>
          <c:idx val="13"/>
          <c:order val="13"/>
          <c:tx>
            <c:strRef>
              <c:f>'03_初始参数确定'!$K$60</c:f>
              <c:strCache>
                <c:ptCount val="1"/>
                <c:pt idx="0">
                  <c:v>180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'03_初始参数确定'!$J$79:$J$85</c:f>
              <c:numCache>
                <c:formatCode>0_);[Red]\(0\)</c:formatCode>
                <c:ptCount val="7"/>
                <c:pt idx="0">
                  <c:v>167.7845055458105</c:v>
                </c:pt>
                <c:pt idx="1">
                  <c:v>167.7845055458105</c:v>
                </c:pt>
                <c:pt idx="2">
                  <c:v>167.7845055458105</c:v>
                </c:pt>
                <c:pt idx="3">
                  <c:v>167.7845055458105</c:v>
                </c:pt>
                <c:pt idx="4">
                  <c:v>167.7845055458105</c:v>
                </c:pt>
                <c:pt idx="5">
                  <c:v>167.7845055458105</c:v>
                </c:pt>
                <c:pt idx="6">
                  <c:v>167.7845055458105</c:v>
                </c:pt>
              </c:numCache>
            </c:numRef>
          </c:xVal>
          <c:yVal>
            <c:numRef>
              <c:f>'03_初始参数确定'!$K$61:$K$67</c:f>
              <c:numCache>
                <c:formatCode>0_ </c:formatCode>
                <c:ptCount val="7"/>
                <c:pt idx="0">
                  <c:v>57.268442986348887</c:v>
                </c:pt>
                <c:pt idx="1">
                  <c:v>55.654922691015187</c:v>
                </c:pt>
                <c:pt idx="2">
                  <c:v>54.170523911155243</c:v>
                </c:pt>
                <c:pt idx="3">
                  <c:v>52.798895611258665</c:v>
                </c:pt>
                <c:pt idx="4">
                  <c:v>51.52644607862932</c:v>
                </c:pt>
                <c:pt idx="5">
                  <c:v>50.341771718818428</c:v>
                </c:pt>
                <c:pt idx="6">
                  <c:v>49.235224027277106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2B83-40C5-9BF1-216C56052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286368"/>
        <c:axId val="1752274848"/>
      </c:scatterChart>
      <c:valAx>
        <c:axId val="175228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巡航速度</a:t>
                </a:r>
                <a:r>
                  <a:rPr lang="en-US" altLang="zh-CN"/>
                  <a:t>/KTAS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2274848"/>
        <c:crosses val="autoZero"/>
        <c:crossBetween val="midCat"/>
      </c:valAx>
      <c:valAx>
        <c:axId val="1752274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失速速度</a:t>
                </a:r>
                <a:r>
                  <a:rPr lang="en-US" altLang="zh-CN"/>
                  <a:t>/KTAS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228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6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569232</xdr:colOff>
      <xdr:row>22</xdr:row>
      <xdr:rowOff>124351</xdr:rowOff>
    </xdr:from>
    <xdr:to>
      <xdr:col>34</xdr:col>
      <xdr:colOff>192768</xdr:colOff>
      <xdr:row>45</xdr:row>
      <xdr:rowOff>131537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A07682AC-57A8-76E1-740D-DA6494A78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31544</xdr:colOff>
      <xdr:row>0</xdr:row>
      <xdr:rowOff>154462</xdr:rowOff>
    </xdr:from>
    <xdr:to>
      <xdr:col>34</xdr:col>
      <xdr:colOff>308428</xdr:colOff>
      <xdr:row>22</xdr:row>
      <xdr:rowOff>47522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A54FFF43-DFED-EDD4-7B2F-B2E57176F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123847</xdr:colOff>
      <xdr:row>16</xdr:row>
      <xdr:rowOff>23369</xdr:rowOff>
    </xdr:from>
    <xdr:to>
      <xdr:col>19</xdr:col>
      <xdr:colOff>992909</xdr:colOff>
      <xdr:row>34</xdr:row>
      <xdr:rowOff>23091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1C4AF15-F2A0-1B6A-8329-C5E6982B1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125643</xdr:colOff>
      <xdr:row>16</xdr:row>
      <xdr:rowOff>15212</xdr:rowOff>
    </xdr:from>
    <xdr:to>
      <xdr:col>26</xdr:col>
      <xdr:colOff>819727</xdr:colOff>
      <xdr:row>33</xdr:row>
      <xdr:rowOff>92363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29567D2-1B57-C3C5-1A08-E048711C6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448850</xdr:colOff>
      <xdr:row>16</xdr:row>
      <xdr:rowOff>101526</xdr:rowOff>
    </xdr:from>
    <xdr:to>
      <xdr:col>36</xdr:col>
      <xdr:colOff>734395</xdr:colOff>
      <xdr:row>37</xdr:row>
      <xdr:rowOff>106931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210716EB-A183-83C8-C901-44A45CE307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212480</xdr:colOff>
      <xdr:row>68</xdr:row>
      <xdr:rowOff>12212</xdr:rowOff>
    </xdr:from>
    <xdr:to>
      <xdr:col>16</xdr:col>
      <xdr:colOff>694623</xdr:colOff>
      <xdr:row>71</xdr:row>
      <xdr:rowOff>81007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E610BBF8-FA4E-AF6C-B017-FE426277D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40380" y="14077462"/>
          <a:ext cx="3657143" cy="633944"/>
        </a:xfrm>
        <a:prstGeom prst="rect">
          <a:avLst/>
        </a:prstGeom>
      </xdr:spPr>
    </xdr:pic>
    <xdr:clientData/>
  </xdr:twoCellAnchor>
  <xdr:twoCellAnchor editAs="oneCell">
    <xdr:from>
      <xdr:col>13</xdr:col>
      <xdr:colOff>212332</xdr:colOff>
      <xdr:row>71</xdr:row>
      <xdr:rowOff>145116</xdr:rowOff>
    </xdr:from>
    <xdr:to>
      <xdr:col>16</xdr:col>
      <xdr:colOff>706356</xdr:colOff>
      <xdr:row>75</xdr:row>
      <xdr:rowOff>66883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ECF53AB-DD77-76DC-B9CB-681F4A087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40232" y="14775516"/>
          <a:ext cx="3669024" cy="632967"/>
        </a:xfrm>
        <a:prstGeom prst="rect">
          <a:avLst/>
        </a:prstGeom>
      </xdr:spPr>
    </xdr:pic>
    <xdr:clientData/>
  </xdr:twoCellAnchor>
  <xdr:twoCellAnchor>
    <xdr:from>
      <xdr:col>0</xdr:col>
      <xdr:colOff>314571</xdr:colOff>
      <xdr:row>86</xdr:row>
      <xdr:rowOff>33284</xdr:rowOff>
    </xdr:from>
    <xdr:to>
      <xdr:col>8</xdr:col>
      <xdr:colOff>1010558</xdr:colOff>
      <xdr:row>106</xdr:row>
      <xdr:rowOff>92527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55169D6-9BA0-BE93-0933-E24B52EF5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0.24519</cdr:x>
      <cdr:y>0.18394</cdr:y>
    </cdr:from>
    <cdr:to>
      <cdr:x>0.24702</cdr:x>
      <cdr:y>0.78609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22C1952F-3D92-9C99-5612-3FB5E3F4D421}"/>
            </a:ext>
          </a:extLst>
        </cdr:cNvPr>
        <cdr:cNvCxnSpPr/>
      </cdr:nvCxnSpPr>
      <cdr:spPr>
        <a:xfrm xmlns:a="http://schemas.openxmlformats.org/drawingml/2006/main" flipH="1" flipV="1">
          <a:off x="1121145" y="505291"/>
          <a:ext cx="8358" cy="1654147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0.23904</cdr:x>
      <cdr:y>0.17593</cdr:y>
    </cdr:from>
    <cdr:to>
      <cdr:x>0.26997</cdr:x>
      <cdr:y>0.34432</cdr:y>
    </cdr:to>
    <cdr:sp macro="" textlink="">
      <cdr:nvSpPr>
        <cdr:cNvPr id="5" name="文本框 4">
          <a:extLst xmlns:a="http://schemas.openxmlformats.org/drawingml/2006/main">
            <a:ext uri="{FF2B5EF4-FFF2-40B4-BE49-F238E27FC236}">
              <a16:creationId xmlns:a16="http://schemas.microsoft.com/office/drawing/2014/main" id="{3F01D1BD-F1E5-794F-75AC-84D0F74B35A8}"/>
            </a:ext>
          </a:extLst>
        </cdr:cNvPr>
        <cdr:cNvSpPr txBox="1"/>
      </cdr:nvSpPr>
      <cdr:spPr>
        <a:xfrm xmlns:a="http://schemas.openxmlformats.org/drawingml/2006/main">
          <a:off x="1093044" y="485271"/>
          <a:ext cx="141432" cy="46447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500"/>
            <a:t>典型算例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0.23885</cdr:x>
      <cdr:y>0.17765</cdr:y>
    </cdr:from>
    <cdr:to>
      <cdr:x>0.24068</cdr:x>
      <cdr:y>0.78724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A5804280-E654-E5EB-A152-B0186D41940B}"/>
            </a:ext>
          </a:extLst>
        </cdr:cNvPr>
        <cdr:cNvCxnSpPr/>
      </cdr:nvCxnSpPr>
      <cdr:spPr>
        <a:xfrm xmlns:a="http://schemas.openxmlformats.org/drawingml/2006/main" flipH="1" flipV="1">
          <a:off x="1095138" y="480644"/>
          <a:ext cx="8375" cy="164925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0.2327</cdr:x>
      <cdr:y>0.16955</cdr:y>
    </cdr:from>
    <cdr:to>
      <cdr:x>0.26361</cdr:x>
      <cdr:y>0.34002</cdr:y>
    </cdr:to>
    <cdr:sp macro="" textlink="">
      <cdr:nvSpPr>
        <cdr:cNvPr id="4" name="文本框 2">
          <a:extLst xmlns:a="http://schemas.openxmlformats.org/drawingml/2006/main">
            <a:ext uri="{FF2B5EF4-FFF2-40B4-BE49-F238E27FC236}">
              <a16:creationId xmlns:a16="http://schemas.microsoft.com/office/drawing/2014/main" id="{ADC133E1-676D-5EC5-775D-FCEE17E52224}"/>
            </a:ext>
          </a:extLst>
        </cdr:cNvPr>
        <cdr:cNvSpPr txBox="1"/>
      </cdr:nvSpPr>
      <cdr:spPr>
        <a:xfrm xmlns:a="http://schemas.openxmlformats.org/drawingml/2006/main">
          <a:off x="1066944" y="458711"/>
          <a:ext cx="141714" cy="46121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500"/>
            <a:t>典型算例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0.23586</cdr:x>
      <cdr:y>0.17689</cdr:y>
    </cdr:from>
    <cdr:to>
      <cdr:x>0.23768</cdr:x>
      <cdr:y>0.78648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D313FBA0-EB46-9490-1CB9-207551E963FA}"/>
            </a:ext>
          </a:extLst>
        </cdr:cNvPr>
        <cdr:cNvCxnSpPr/>
      </cdr:nvCxnSpPr>
      <cdr:spPr>
        <a:xfrm xmlns:a="http://schemas.openxmlformats.org/drawingml/2006/main" flipH="1" flipV="1">
          <a:off x="1080306" y="478135"/>
          <a:ext cx="8365" cy="1647701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0.22971</cdr:x>
      <cdr:y>0.16879</cdr:y>
    </cdr:from>
    <cdr:to>
      <cdr:x>0.26061</cdr:x>
      <cdr:y>0.33926</cdr:y>
    </cdr:to>
    <cdr:sp macro="" textlink="">
      <cdr:nvSpPr>
        <cdr:cNvPr id="4" name="文本框 2">
          <a:extLst xmlns:a="http://schemas.openxmlformats.org/drawingml/2006/main">
            <a:ext uri="{FF2B5EF4-FFF2-40B4-BE49-F238E27FC236}">
              <a16:creationId xmlns:a16="http://schemas.microsoft.com/office/drawing/2014/main" id="{5A88049C-0AF5-A374-B572-0A136957C2A4}"/>
            </a:ext>
          </a:extLst>
        </cdr:cNvPr>
        <cdr:cNvSpPr txBox="1"/>
      </cdr:nvSpPr>
      <cdr:spPr>
        <a:xfrm xmlns:a="http://schemas.openxmlformats.org/drawingml/2006/main">
          <a:off x="1052146" y="456223"/>
          <a:ext cx="141543" cy="46078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500"/>
            <a:t>典型算例</a:t>
          </a:r>
        </a:p>
      </cdr:txBody>
    </cdr:sp>
  </cdr:relSizeAnchor>
  <cdr:relSizeAnchor xmlns:cdr="http://schemas.openxmlformats.org/drawingml/2006/chartDrawing">
    <cdr:from>
      <cdr:x>0.26122</cdr:x>
      <cdr:y>0.20726</cdr:y>
    </cdr:from>
    <cdr:to>
      <cdr:x>0.30251</cdr:x>
      <cdr:y>0.37804</cdr:y>
    </cdr:to>
    <cdr:sp macro="" textlink="">
      <cdr:nvSpPr>
        <cdr:cNvPr id="5" name="文本框 4">
          <a:extLst xmlns:a="http://schemas.openxmlformats.org/drawingml/2006/main">
            <a:ext uri="{FF2B5EF4-FFF2-40B4-BE49-F238E27FC236}">
              <a16:creationId xmlns:a16="http://schemas.microsoft.com/office/drawing/2014/main" id="{F02F2193-6BFC-0B79-8DA0-12E0429FA584}"/>
            </a:ext>
          </a:extLst>
        </cdr:cNvPr>
        <cdr:cNvSpPr txBox="1"/>
      </cdr:nvSpPr>
      <cdr:spPr>
        <a:xfrm xmlns:a="http://schemas.openxmlformats.org/drawingml/2006/main" rot="18047836">
          <a:off x="1764997" y="955579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45KCAS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0.30735</cdr:x>
      <cdr:y>0.18629</cdr:y>
    </cdr:from>
    <cdr:to>
      <cdr:x>0.34864</cdr:x>
      <cdr:y>0.35707</cdr:y>
    </cdr:to>
    <cdr:sp macro="" textlink="">
      <cdr:nvSpPr>
        <cdr:cNvPr id="6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8301085">
          <a:off x="2106792" y="876122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50KCAS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0.34752</cdr:x>
      <cdr:y>0.18838</cdr:y>
    </cdr:from>
    <cdr:to>
      <cdr:x>0.38881</cdr:x>
      <cdr:y>0.35916</cdr:y>
    </cdr:to>
    <cdr:sp macro="" textlink="">
      <cdr:nvSpPr>
        <cdr:cNvPr id="7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8692793">
          <a:off x="2404450" y="884058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55KCAS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0.39091</cdr:x>
      <cdr:y>0.18734</cdr:y>
    </cdr:from>
    <cdr:to>
      <cdr:x>0.4322</cdr:x>
      <cdr:y>0.35811</cdr:y>
    </cdr:to>
    <cdr:sp macro="" textlink="">
      <cdr:nvSpPr>
        <cdr:cNvPr id="8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8713260">
          <a:off x="2725918" y="880089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60KCAS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0.42357</cdr:x>
      <cdr:y>0.36426</cdr:y>
    </cdr:from>
    <cdr:to>
      <cdr:x>0.51088</cdr:x>
      <cdr:y>0.44562</cdr:y>
    </cdr:to>
    <cdr:sp macro="" textlink="">
      <cdr:nvSpPr>
        <cdr:cNvPr id="9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9390703">
          <a:off x="3138148" y="1369798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70KCAS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0.45487</cdr:x>
      <cdr:y>0.2233</cdr:y>
    </cdr:from>
    <cdr:to>
      <cdr:x>0.54219</cdr:x>
      <cdr:y>0.30466</cdr:y>
    </cdr:to>
    <cdr:sp macro="" textlink="">
      <cdr:nvSpPr>
        <cdr:cNvPr id="10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9088482">
          <a:off x="3370062" y="839712"/>
          <a:ext cx="646894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65KCAS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0.41693</cdr:x>
      <cdr:y>0.2275</cdr:y>
    </cdr:from>
    <cdr:to>
      <cdr:x>0.50813</cdr:x>
      <cdr:y>0.30886</cdr:y>
    </cdr:to>
    <cdr:sp macro="" textlink="">
      <cdr:nvSpPr>
        <cdr:cNvPr id="11" name="文本框 1">
          <a:extLst xmlns:a="http://schemas.openxmlformats.org/drawingml/2006/main">
            <a:ext uri="{FF2B5EF4-FFF2-40B4-BE49-F238E27FC236}">
              <a16:creationId xmlns:a16="http://schemas.microsoft.com/office/drawing/2014/main" id="{860617C3-EB76-CB4F-4CD3-1E6F4177A98F}"/>
            </a:ext>
          </a:extLst>
        </cdr:cNvPr>
        <cdr:cNvSpPr txBox="1"/>
      </cdr:nvSpPr>
      <cdr:spPr>
        <a:xfrm xmlns:a="http://schemas.openxmlformats.org/drawingml/2006/main" rot="19030616">
          <a:off x="3088948" y="855502"/>
          <a:ext cx="675713" cy="3059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 b="1"/>
            <a:t>61KCAS</a:t>
          </a:r>
          <a:endParaRPr lang="zh-CN" altLang="en-US" sz="1100" b="1"/>
        </a:p>
      </cdr:txBody>
    </cdr:sp>
  </cdr:relSizeAnchor>
  <cdr:relSizeAnchor xmlns:cdr="http://schemas.openxmlformats.org/drawingml/2006/chartDrawing">
    <cdr:from>
      <cdr:x>0.34991</cdr:x>
      <cdr:y>0.4338</cdr:y>
    </cdr:from>
    <cdr:to>
      <cdr:x>0.35098</cdr:x>
      <cdr:y>0.79161</cdr:y>
    </cdr:to>
    <cdr:cxnSp macro="">
      <cdr:nvCxnSpPr>
        <cdr:cNvPr id="13" name="直接箭头连接符 12">
          <a:extLst xmlns:a="http://schemas.openxmlformats.org/drawingml/2006/main">
            <a:ext uri="{FF2B5EF4-FFF2-40B4-BE49-F238E27FC236}">
              <a16:creationId xmlns:a16="http://schemas.microsoft.com/office/drawing/2014/main" id="{5873BB56-23F0-C792-28C9-6C35461F4796}"/>
            </a:ext>
          </a:extLst>
        </cdr:cNvPr>
        <cdr:cNvCxnSpPr/>
      </cdr:nvCxnSpPr>
      <cdr:spPr>
        <a:xfrm xmlns:a="http://schemas.openxmlformats.org/drawingml/2006/main" flipH="1" flipV="1">
          <a:off x="2592512" y="1645589"/>
          <a:ext cx="7937" cy="1357312"/>
        </a:xfrm>
        <a:prstGeom xmlns:a="http://schemas.openxmlformats.org/drawingml/2006/main" prst="straightConnector1">
          <a:avLst/>
        </a:prstGeom>
        <a:ln xmlns:a="http://schemas.openxmlformats.org/drawingml/2006/main" w="28575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0.1485</cdr:x>
      <cdr:y>0.43275</cdr:y>
    </cdr:from>
    <cdr:to>
      <cdr:x>0.35312</cdr:x>
      <cdr:y>0.43694</cdr:y>
    </cdr:to>
    <cdr:cxnSp macro="">
      <cdr:nvCxnSpPr>
        <cdr:cNvPr id="15" name="直接箭头连接符 14">
          <a:extLst xmlns:a="http://schemas.openxmlformats.org/drawingml/2006/main">
            <a:ext uri="{FF2B5EF4-FFF2-40B4-BE49-F238E27FC236}">
              <a16:creationId xmlns:a16="http://schemas.microsoft.com/office/drawing/2014/main" id="{20C84D37-6295-33A0-72C1-BB6A59242A29}"/>
            </a:ext>
          </a:extLst>
        </cdr:cNvPr>
        <cdr:cNvCxnSpPr/>
      </cdr:nvCxnSpPr>
      <cdr:spPr>
        <a:xfrm xmlns:a="http://schemas.openxmlformats.org/drawingml/2006/main" flipH="1" flipV="1">
          <a:off x="1100262" y="1641620"/>
          <a:ext cx="1516062" cy="15875"/>
        </a:xfrm>
        <a:prstGeom xmlns:a="http://schemas.openxmlformats.org/drawingml/2006/main" prst="straightConnector1">
          <a:avLst/>
        </a:prstGeom>
        <a:ln xmlns:a="http://schemas.openxmlformats.org/drawingml/2006/main" w="19050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0.35098</cdr:x>
      <cdr:y>0.42438</cdr:y>
    </cdr:from>
    <cdr:to>
      <cdr:x>0.68148</cdr:x>
      <cdr:y>0.42648</cdr:y>
    </cdr:to>
    <cdr:cxnSp macro="">
      <cdr:nvCxnSpPr>
        <cdr:cNvPr id="18" name="直接箭头连接符 17">
          <a:extLst xmlns:a="http://schemas.openxmlformats.org/drawingml/2006/main">
            <a:ext uri="{FF2B5EF4-FFF2-40B4-BE49-F238E27FC236}">
              <a16:creationId xmlns:a16="http://schemas.microsoft.com/office/drawing/2014/main" id="{381B2EA1-0732-D4DE-228E-FE98701ABFC6}"/>
            </a:ext>
          </a:extLst>
        </cdr:cNvPr>
        <cdr:cNvCxnSpPr/>
      </cdr:nvCxnSpPr>
      <cdr:spPr>
        <a:xfrm xmlns:a="http://schemas.openxmlformats.org/drawingml/2006/main" flipV="1">
          <a:off x="2600449" y="1609870"/>
          <a:ext cx="2448719" cy="7937"/>
        </a:xfrm>
        <a:prstGeom xmlns:a="http://schemas.openxmlformats.org/drawingml/2006/main" prst="straightConnector1">
          <a:avLst/>
        </a:prstGeom>
        <a:ln xmlns:a="http://schemas.openxmlformats.org/drawingml/2006/main" w="28575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0.57381</cdr:x>
      <cdr:y>0.35533</cdr:y>
    </cdr:from>
    <cdr:to>
      <cdr:x>0.67934</cdr:x>
      <cdr:y>0.41811</cdr:y>
    </cdr:to>
    <cdr:sp macro="" textlink="">
      <cdr:nvSpPr>
        <cdr:cNvPr id="19" name="文本框 18">
          <a:extLst xmlns:a="http://schemas.openxmlformats.org/drawingml/2006/main">
            <a:ext uri="{FF2B5EF4-FFF2-40B4-BE49-F238E27FC236}">
              <a16:creationId xmlns:a16="http://schemas.microsoft.com/office/drawing/2014/main" id="{2294C6FE-9E9F-4A89-ED93-F2FB3A32CAD0}"/>
            </a:ext>
          </a:extLst>
        </cdr:cNvPr>
        <cdr:cNvSpPr txBox="1"/>
      </cdr:nvSpPr>
      <cdr:spPr>
        <a:xfrm xmlns:a="http://schemas.openxmlformats.org/drawingml/2006/main">
          <a:off x="4251449" y="1347933"/>
          <a:ext cx="78184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zh-CN" altLang="en-US" sz="1100"/>
            <a:t>所需</a:t>
          </a:r>
          <a:r>
            <a:rPr lang="en-US" altLang="zh-CN" sz="1100"/>
            <a:t>C</a:t>
          </a:r>
          <a:r>
            <a:rPr lang="en-US" altLang="zh-CN" sz="1100" baseline="-25000"/>
            <a:t>LMAX</a:t>
          </a:r>
          <a:endParaRPr lang="zh-CN" altLang="en-US" sz="1100" baseline="-25000"/>
        </a:p>
      </cdr:txBody>
    </cdr:sp>
  </cdr:relSizeAnchor>
  <cdr:relSizeAnchor xmlns:cdr="http://schemas.openxmlformats.org/drawingml/2006/chartDrawing">
    <cdr:from>
      <cdr:x>0.14881</cdr:x>
      <cdr:y>0.35864</cdr:y>
    </cdr:from>
    <cdr:to>
      <cdr:x>0.25433</cdr:x>
      <cdr:y>0.42142</cdr:y>
    </cdr:to>
    <cdr:sp macro="" textlink="">
      <cdr:nvSpPr>
        <cdr:cNvPr id="20" name="文本框 1">
          <a:extLst xmlns:a="http://schemas.openxmlformats.org/drawingml/2006/main">
            <a:ext uri="{FF2B5EF4-FFF2-40B4-BE49-F238E27FC236}">
              <a16:creationId xmlns:a16="http://schemas.microsoft.com/office/drawing/2014/main" id="{2E8F3765-7133-BA7E-9002-F1ED967BEB5E}"/>
            </a:ext>
          </a:extLst>
        </cdr:cNvPr>
        <cdr:cNvSpPr txBox="1"/>
      </cdr:nvSpPr>
      <cdr:spPr>
        <a:xfrm xmlns:a="http://schemas.openxmlformats.org/drawingml/2006/main">
          <a:off x="1102519" y="1360487"/>
          <a:ext cx="781844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CN" altLang="en-US" sz="1100"/>
            <a:t>所需功率</a:t>
          </a:r>
          <a:endParaRPr lang="zh-CN" altLang="en-US" sz="1100" baseline="-250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0.14614</cdr:x>
      <cdr:y>0.42377</cdr:y>
    </cdr:from>
    <cdr:to>
      <cdr:x>0.25893</cdr:x>
      <cdr:y>0.49615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98DD87DD-BE4F-7E3E-F3ED-538B845FCF79}"/>
            </a:ext>
          </a:extLst>
        </cdr:cNvPr>
        <cdr:cNvSpPr txBox="1"/>
      </cdr:nvSpPr>
      <cdr:spPr>
        <a:xfrm xmlns:a="http://schemas.openxmlformats.org/drawingml/2006/main">
          <a:off x="737170" y="1418535"/>
          <a:ext cx="568976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180ft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0.22697</cdr:x>
      <cdr:y>0.38558</cdr:y>
    </cdr:from>
    <cdr:to>
      <cdr:x>0.34221</cdr:x>
      <cdr:y>0.45796</cdr:y>
    </cdr:to>
    <cdr:sp macro="" textlink="">
      <cdr:nvSpPr>
        <cdr:cNvPr id="3" name="文本框 1">
          <a:extLst xmlns:a="http://schemas.openxmlformats.org/drawingml/2006/main">
            <a:ext uri="{FF2B5EF4-FFF2-40B4-BE49-F238E27FC236}">
              <a16:creationId xmlns:a16="http://schemas.microsoft.com/office/drawing/2014/main" id="{8831EF34-1306-5AA2-E632-B7007D676514}"/>
            </a:ext>
          </a:extLst>
        </cdr:cNvPr>
        <cdr:cNvSpPr txBox="1"/>
      </cdr:nvSpPr>
      <cdr:spPr>
        <a:xfrm xmlns:a="http://schemas.openxmlformats.org/drawingml/2006/main">
          <a:off x="1144939" y="1290712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170ft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0.32672</cdr:x>
      <cdr:y>0.34642</cdr:y>
    </cdr:from>
    <cdr:to>
      <cdr:x>0.44195</cdr:x>
      <cdr:y>0.4188</cdr:y>
    </cdr:to>
    <cdr:sp macro="" textlink="">
      <cdr:nvSpPr>
        <cdr:cNvPr id="4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1648069" y="1159608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160ft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0.42064</cdr:x>
      <cdr:y>0.28805</cdr:y>
    </cdr:from>
    <cdr:to>
      <cdr:x>0.53588</cdr:x>
      <cdr:y>0.36043</cdr:y>
    </cdr:to>
    <cdr:sp macro="" textlink="">
      <cdr:nvSpPr>
        <cdr:cNvPr id="5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2121877" y="964223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150ft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0.532</cdr:x>
      <cdr:y>0.2326</cdr:y>
    </cdr:from>
    <cdr:to>
      <cdr:x>0.64724</cdr:x>
      <cdr:y>0.30498</cdr:y>
    </cdr:to>
    <cdr:sp macro="" textlink="">
      <cdr:nvSpPr>
        <cdr:cNvPr id="6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2683608" y="778608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140ft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0.6482</cdr:x>
      <cdr:y>0.16693</cdr:y>
    </cdr:from>
    <cdr:to>
      <cdr:x>0.76344</cdr:x>
      <cdr:y>0.23931</cdr:y>
    </cdr:to>
    <cdr:sp macro="" textlink="">
      <cdr:nvSpPr>
        <cdr:cNvPr id="7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3269762" y="558800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130ft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0.77893</cdr:x>
      <cdr:y>0.09397</cdr:y>
    </cdr:from>
    <cdr:to>
      <cdr:x>0.89416</cdr:x>
      <cdr:y>0.16635</cdr:y>
    </cdr:to>
    <cdr:sp macro="" textlink="">
      <cdr:nvSpPr>
        <cdr:cNvPr id="8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3929185" y="314570"/>
          <a:ext cx="581284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120ft</a:t>
          </a:r>
          <a:r>
            <a:rPr lang="en-US" altLang="zh-CN" sz="1100" baseline="30000"/>
            <a:t>2</a:t>
          </a:r>
          <a:endParaRPr lang="zh-CN" altLang="en-US" sz="1100" baseline="30000"/>
        </a:p>
      </cdr:txBody>
    </cdr:sp>
  </cdr:relSizeAnchor>
  <cdr:relSizeAnchor xmlns:cdr="http://schemas.openxmlformats.org/drawingml/2006/chartDrawing">
    <cdr:from>
      <cdr:x>0.88157</cdr:x>
      <cdr:y>0.25011</cdr:y>
    </cdr:from>
    <cdr:to>
      <cdr:x>0.99099</cdr:x>
      <cdr:y>0.32249</cdr:y>
    </cdr:to>
    <cdr:sp macro="" textlink="">
      <cdr:nvSpPr>
        <cdr:cNvPr id="9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4446952" y="837223"/>
          <a:ext cx="551962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 b="1" i="1" baseline="0"/>
            <a:t>C</a:t>
          </a:r>
          <a:r>
            <a:rPr lang="en-US" altLang="zh-CN" sz="1100" b="1" i="1" baseline="-25000"/>
            <a:t>Lmax</a:t>
          </a:r>
          <a:endParaRPr lang="zh-CN" altLang="en-US" sz="1100" b="1" i="1" baseline="-25000"/>
        </a:p>
      </cdr:txBody>
    </cdr:sp>
  </cdr:relSizeAnchor>
  <cdr:relSizeAnchor xmlns:cdr="http://schemas.openxmlformats.org/drawingml/2006/chartDrawing">
    <cdr:from>
      <cdr:x>0.83316</cdr:x>
      <cdr:y>0.40041</cdr:y>
    </cdr:from>
    <cdr:to>
      <cdr:x>0.90578</cdr:x>
      <cdr:y>0.47279</cdr:y>
    </cdr:to>
    <cdr:sp macro="" textlink="">
      <cdr:nvSpPr>
        <cdr:cNvPr id="10" name="文本框 1">
          <a:extLst xmlns:a="http://schemas.openxmlformats.org/drawingml/2006/main">
            <a:ext uri="{FF2B5EF4-FFF2-40B4-BE49-F238E27FC236}">
              <a16:creationId xmlns:a16="http://schemas.microsoft.com/office/drawing/2014/main" id="{D0DC272B-6A8C-44B6-7ADE-E598A3E29F64}"/>
            </a:ext>
          </a:extLst>
        </cdr:cNvPr>
        <cdr:cNvSpPr txBox="1"/>
      </cdr:nvSpPr>
      <cdr:spPr>
        <a:xfrm xmlns:a="http://schemas.openxmlformats.org/drawingml/2006/main">
          <a:off x="4202723" y="1340338"/>
          <a:ext cx="366346" cy="242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2.3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0.83208</cdr:x>
      <cdr:y>0.36835</cdr:y>
    </cdr:from>
    <cdr:to>
      <cdr:x>0.9047</cdr:x>
      <cdr:y>0.44073</cdr:y>
    </cdr:to>
    <cdr:sp macro="" textlink="">
      <cdr:nvSpPr>
        <cdr:cNvPr id="11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26428" y="1331685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2.2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0.83208</cdr:x>
      <cdr:y>0.33021</cdr:y>
    </cdr:from>
    <cdr:to>
      <cdr:x>0.9047</cdr:x>
      <cdr:y>0.40259</cdr:y>
    </cdr:to>
    <cdr:sp macro="" textlink="">
      <cdr:nvSpPr>
        <cdr:cNvPr id="12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26429" y="1193800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2.1</a:t>
          </a:r>
        </a:p>
      </cdr:txBody>
    </cdr:sp>
  </cdr:relSizeAnchor>
  <cdr:relSizeAnchor xmlns:cdr="http://schemas.openxmlformats.org/drawingml/2006/chartDrawing">
    <cdr:from>
      <cdr:x>0.83143</cdr:x>
      <cdr:y>0.14052</cdr:y>
    </cdr:from>
    <cdr:to>
      <cdr:x>0.90405</cdr:x>
      <cdr:y>0.21289</cdr:y>
    </cdr:to>
    <cdr:sp macro="" textlink="">
      <cdr:nvSpPr>
        <cdr:cNvPr id="13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22800" y="508000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1.7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0.83208</cdr:x>
      <cdr:y>0.28605</cdr:y>
    </cdr:from>
    <cdr:to>
      <cdr:x>0.9047</cdr:x>
      <cdr:y>0.35843</cdr:y>
    </cdr:to>
    <cdr:sp macro="" textlink="">
      <cdr:nvSpPr>
        <cdr:cNvPr id="14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26428" y="1034143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2.0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0.83143</cdr:x>
      <cdr:y>0.24189</cdr:y>
    </cdr:from>
    <cdr:to>
      <cdr:x>0.90405</cdr:x>
      <cdr:y>0.31427</cdr:y>
    </cdr:to>
    <cdr:sp macro="" textlink="">
      <cdr:nvSpPr>
        <cdr:cNvPr id="15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22801" y="874486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1.9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0.83012</cdr:x>
      <cdr:y>0.19472</cdr:y>
    </cdr:from>
    <cdr:to>
      <cdr:x>0.90275</cdr:x>
      <cdr:y>0.26709</cdr:y>
    </cdr:to>
    <cdr:sp macro="" textlink="">
      <cdr:nvSpPr>
        <cdr:cNvPr id="16" name="文本框 1">
          <a:extLst xmlns:a="http://schemas.openxmlformats.org/drawingml/2006/main">
            <a:ext uri="{FF2B5EF4-FFF2-40B4-BE49-F238E27FC236}">
              <a16:creationId xmlns:a16="http://schemas.microsoft.com/office/drawing/2014/main" id="{2A6B037D-BD7C-5C79-5707-D64CEDC82CA3}"/>
            </a:ext>
          </a:extLst>
        </cdr:cNvPr>
        <cdr:cNvSpPr txBox="1"/>
      </cdr:nvSpPr>
      <cdr:spPr>
        <a:xfrm xmlns:a="http://schemas.openxmlformats.org/drawingml/2006/main">
          <a:off x="4615543" y="703943"/>
          <a:ext cx="403802" cy="261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900" b="1"/>
            <a:t>1.8</a:t>
          </a:r>
          <a:endParaRPr lang="zh-CN" altLang="en-US" sz="900" b="1" baseline="30000"/>
        </a:p>
      </cdr:txBody>
    </cdr:sp>
  </cdr:relSizeAnchor>
  <cdr:relSizeAnchor xmlns:cdr="http://schemas.openxmlformats.org/drawingml/2006/chartDrawing">
    <cdr:from>
      <cdr:x>0.15944</cdr:x>
      <cdr:y>0.4831</cdr:y>
    </cdr:from>
    <cdr:to>
      <cdr:x>0.94583</cdr:x>
      <cdr:y>0.49113</cdr:y>
    </cdr:to>
    <cdr:cxnSp macro="">
      <cdr:nvCxnSpPr>
        <cdr:cNvPr id="18" name="直接连接符 17">
          <a:extLst xmlns:a="http://schemas.openxmlformats.org/drawingml/2006/main">
            <a:ext uri="{FF2B5EF4-FFF2-40B4-BE49-F238E27FC236}">
              <a16:creationId xmlns:a16="http://schemas.microsoft.com/office/drawing/2014/main" id="{5CDB7E52-56E5-4D8D-7B5C-B7C33B8FE56E}"/>
            </a:ext>
          </a:extLst>
        </cdr:cNvPr>
        <cdr:cNvCxnSpPr/>
      </cdr:nvCxnSpPr>
      <cdr:spPr>
        <a:xfrm xmlns:a="http://schemas.openxmlformats.org/drawingml/2006/main" flipV="1">
          <a:off x="886486" y="1746530"/>
          <a:ext cx="4372429" cy="2902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0.75266</cdr:x>
      <cdr:y>0.54132</cdr:y>
    </cdr:from>
    <cdr:to>
      <cdr:x>0.9119</cdr:x>
      <cdr:y>0.64971</cdr:y>
    </cdr:to>
    <cdr:sp macro="" textlink="">
      <cdr:nvSpPr>
        <cdr:cNvPr id="19" name="对话气泡: 矩形 18">
          <a:extLst xmlns:a="http://schemas.openxmlformats.org/drawingml/2006/main">
            <a:ext uri="{FF2B5EF4-FFF2-40B4-BE49-F238E27FC236}">
              <a16:creationId xmlns:a16="http://schemas.microsoft.com/office/drawing/2014/main" id="{98E6760D-BB13-41A0-07A5-28605A93B806}"/>
            </a:ext>
          </a:extLst>
        </cdr:cNvPr>
        <cdr:cNvSpPr/>
      </cdr:nvSpPr>
      <cdr:spPr>
        <a:xfrm xmlns:a="http://schemas.openxmlformats.org/drawingml/2006/main">
          <a:off x="4184858" y="1956987"/>
          <a:ext cx="885372" cy="391885"/>
        </a:xfrm>
        <a:prstGeom xmlns:a="http://schemas.openxmlformats.org/drawingml/2006/main" prst="wedgeRectCallout">
          <a:avLst>
            <a:gd name="adj1" fmla="val 20970"/>
            <a:gd name="adj2" fmla="val -102315"/>
          </a:avLst>
        </a:prstGeom>
        <a:noFill xmlns:a="http://schemas.openxmlformats.org/drawingml/2006/main"/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zh-CN" altLang="en-US" sz="800">
              <a:solidFill>
                <a:sysClr val="windowText" lastClr="000000"/>
              </a:solidFill>
            </a:rPr>
            <a:t>期望失速速度为</a:t>
          </a:r>
          <a:r>
            <a:rPr lang="en-US" altLang="zh-CN" sz="800">
              <a:solidFill>
                <a:sysClr val="windowText" lastClr="000000"/>
              </a:solidFill>
            </a:rPr>
            <a:t>59KCAS</a:t>
          </a:r>
          <a:endParaRPr lang="zh-CN" sz="8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0.55231</cdr:x>
      <cdr:y>0.1017</cdr:y>
    </cdr:from>
    <cdr:to>
      <cdr:x>0.55231</cdr:x>
      <cdr:y>0.84242</cdr:y>
    </cdr:to>
    <cdr:cxnSp macro="">
      <cdr:nvCxnSpPr>
        <cdr:cNvPr id="21" name="直接连接符 20">
          <a:extLst xmlns:a="http://schemas.openxmlformats.org/drawingml/2006/main">
            <a:ext uri="{FF2B5EF4-FFF2-40B4-BE49-F238E27FC236}">
              <a16:creationId xmlns:a16="http://schemas.microsoft.com/office/drawing/2014/main" id="{98439683-AC64-8865-D879-C0629250D670}"/>
            </a:ext>
          </a:extLst>
        </cdr:cNvPr>
        <cdr:cNvCxnSpPr/>
      </cdr:nvCxnSpPr>
      <cdr:spPr>
        <a:xfrm xmlns:a="http://schemas.openxmlformats.org/drawingml/2006/main" flipV="1">
          <a:off x="3070886" y="367673"/>
          <a:ext cx="0" cy="267788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ysClr val="windowText" lastClr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0.5882</cdr:x>
      <cdr:y>0.66276</cdr:y>
    </cdr:from>
    <cdr:to>
      <cdr:x>0.73896</cdr:x>
      <cdr:y>0.76815</cdr:y>
    </cdr:to>
    <cdr:sp macro="" textlink="">
      <cdr:nvSpPr>
        <cdr:cNvPr id="22" name="对话气泡: 矩形 21">
          <a:extLst xmlns:a="http://schemas.openxmlformats.org/drawingml/2006/main">
            <a:ext uri="{FF2B5EF4-FFF2-40B4-BE49-F238E27FC236}">
              <a16:creationId xmlns:a16="http://schemas.microsoft.com/office/drawing/2014/main" id="{F4BA1D23-25C4-88F9-8824-77B8A36A9635}"/>
            </a:ext>
          </a:extLst>
        </cdr:cNvPr>
        <cdr:cNvSpPr/>
      </cdr:nvSpPr>
      <cdr:spPr>
        <a:xfrm xmlns:a="http://schemas.openxmlformats.org/drawingml/2006/main">
          <a:off x="3270458" y="2396045"/>
          <a:ext cx="838200" cy="381000"/>
        </a:xfrm>
        <a:prstGeom xmlns:a="http://schemas.openxmlformats.org/drawingml/2006/main" prst="wedgeRectCallout">
          <a:avLst>
            <a:gd name="adj1" fmla="val -71925"/>
            <a:gd name="adj2" fmla="val -21646"/>
          </a:avLst>
        </a:prstGeom>
        <a:noFill xmlns:a="http://schemas.openxmlformats.org/drawingml/2006/main"/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zh-CN" altLang="en-US" sz="800">
              <a:solidFill>
                <a:sysClr val="windowText" lastClr="000000"/>
              </a:solidFill>
            </a:rPr>
            <a:t>期望巡航速度为</a:t>
          </a:r>
          <a:r>
            <a:rPr lang="en-US" altLang="zh-CN" sz="800">
              <a:solidFill>
                <a:sysClr val="windowText" lastClr="000000"/>
              </a:solidFill>
            </a:rPr>
            <a:t>180KTAS</a:t>
          </a:r>
          <a:endParaRPr lang="zh-CN" sz="800">
            <a:solidFill>
              <a:sysClr val="windowText" lastClr="0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4D7E-A15D-4414-A2B0-A7596D4C8C41}">
  <sheetPr codeName="Sheet1"/>
  <dimension ref="A1:E18"/>
  <sheetViews>
    <sheetView zoomScale="145" zoomScaleNormal="145" workbookViewId="0">
      <selection activeCell="B3" sqref="B3"/>
    </sheetView>
  </sheetViews>
  <sheetFormatPr defaultRowHeight="14" x14ac:dyDescent="0.3"/>
  <cols>
    <col min="2" max="2" width="16.25" customWidth="1"/>
    <col min="5" max="5" width="16.6640625" customWidth="1"/>
  </cols>
  <sheetData>
    <row r="1" spans="1:5" ht="16.5" x14ac:dyDescent="0.3">
      <c r="A1" s="59" t="s">
        <v>102</v>
      </c>
      <c r="B1" s="59" t="s">
        <v>103</v>
      </c>
      <c r="C1" s="5"/>
      <c r="D1" s="59" t="s">
        <v>104</v>
      </c>
      <c r="E1" s="59" t="s">
        <v>105</v>
      </c>
    </row>
    <row r="2" spans="1:5" x14ac:dyDescent="0.3">
      <c r="A2" s="6">
        <v>0</v>
      </c>
      <c r="B2" s="6">
        <f>0.002378*(1-0.0000068759*A2)^4.2561</f>
        <v>2.3779999999999999E-3</v>
      </c>
      <c r="C2" s="5"/>
      <c r="D2" s="6">
        <v>0</v>
      </c>
      <c r="E2" s="6">
        <f>0.002378*(1-0.000068756*D2*'01_单位换算'!$K$2)^4.2561*'01_单位换算'!$O$2</f>
        <v>1.2255789813052356</v>
      </c>
    </row>
    <row r="3" spans="1:5" x14ac:dyDescent="0.3">
      <c r="A3" s="6">
        <v>500</v>
      </c>
      <c r="B3" s="6">
        <f t="shared" ref="B3:B18" si="0">0.002378*(1-0.0000068759*A3)^4.2561</f>
        <v>2.3433987409771655E-3</v>
      </c>
      <c r="C3" s="5"/>
      <c r="D3" s="6">
        <v>500</v>
      </c>
      <c r="E3" s="6" t="e">
        <f>0.002378*(1-0.000068756*D3*'01_单位换算'!$K$2)^4.2561*'01_单位换算'!$O$2</f>
        <v>#NUM!</v>
      </c>
    </row>
    <row r="4" spans="1:5" x14ac:dyDescent="0.3">
      <c r="A4" s="6">
        <v>1000</v>
      </c>
      <c r="B4" s="6">
        <f t="shared" si="0"/>
        <v>2.3091839800811263E-3</v>
      </c>
      <c r="C4" s="5"/>
      <c r="D4" s="6">
        <v>1000</v>
      </c>
      <c r="E4" s="6" t="e">
        <f>0.002378*(1-0.000068756*D4*'01_单位换算'!$K$2)^4.2561*'01_单位换算'!$O$2</f>
        <v>#NUM!</v>
      </c>
    </row>
    <row r="5" spans="1:5" x14ac:dyDescent="0.3">
      <c r="A5" s="6">
        <v>1500</v>
      </c>
      <c r="B5" s="6">
        <f t="shared" si="0"/>
        <v>2.2753527156749516E-3</v>
      </c>
      <c r="C5" s="5"/>
      <c r="D5" s="6">
        <v>1500</v>
      </c>
      <c r="E5" s="6" t="e">
        <f>0.002378*(1-0.000068756*D5*'01_单位换算'!$K$2)^4.2561*'01_单位换算'!$O$2</f>
        <v>#NUM!</v>
      </c>
    </row>
    <row r="6" spans="1:5" x14ac:dyDescent="0.3">
      <c r="A6" s="6">
        <v>2000</v>
      </c>
      <c r="B6" s="6">
        <f t="shared" si="0"/>
        <v>2.241901959145416E-3</v>
      </c>
      <c r="C6" s="5"/>
      <c r="D6" s="6">
        <v>2000</v>
      </c>
      <c r="E6" s="6" t="e">
        <f>0.002378*(1-0.000068756*D6*'01_单位换算'!$K$2)^4.2561*'01_单位换算'!$O$2</f>
        <v>#NUM!</v>
      </c>
    </row>
    <row r="7" spans="1:5" x14ac:dyDescent="0.3">
      <c r="A7" s="6">
        <v>2500</v>
      </c>
      <c r="B7" s="6">
        <f t="shared" si="0"/>
        <v>2.2088287348914419E-3</v>
      </c>
      <c r="C7" s="5"/>
      <c r="D7" s="6">
        <v>2500</v>
      </c>
      <c r="E7" s="6" t="e">
        <f>0.002378*(1-0.000068756*D7*'01_单位换算'!$K$2)^4.2561*'01_单位换算'!$O$2</f>
        <v>#NUM!</v>
      </c>
    </row>
    <row r="8" spans="1:5" x14ac:dyDescent="0.3">
      <c r="A8" s="6">
        <v>3000</v>
      </c>
      <c r="B8" s="6">
        <f t="shared" si="0"/>
        <v>2.1761300803125067E-3</v>
      </c>
      <c r="C8" s="5"/>
      <c r="D8" s="6">
        <v>3000</v>
      </c>
      <c r="E8" s="6" t="e">
        <f>0.002378*(1-0.000068756*D8*'01_单位换算'!$K$2)^4.2561*'01_单位换算'!$O$2</f>
        <v>#NUM!</v>
      </c>
    </row>
    <row r="9" spans="1:5" x14ac:dyDescent="0.3">
      <c r="A9" s="6">
        <v>3500</v>
      </c>
      <c r="B9" s="6">
        <f t="shared" si="0"/>
        <v>2.1438030457970212E-3</v>
      </c>
      <c r="C9" s="5"/>
      <c r="D9" s="6">
        <v>3500</v>
      </c>
      <c r="E9" s="6" t="e">
        <f>0.002378*(1-0.000068756*D9*'01_单位换算'!$K$2)^4.2561*'01_单位换算'!$O$2</f>
        <v>#NUM!</v>
      </c>
    </row>
    <row r="10" spans="1:5" x14ac:dyDescent="0.3">
      <c r="A10" s="6">
        <v>4000</v>
      </c>
      <c r="B10" s="6">
        <f t="shared" si="0"/>
        <v>2.1118446947106808E-3</v>
      </c>
      <c r="C10" s="5"/>
      <c r="D10" s="6">
        <v>4000</v>
      </c>
      <c r="E10" s="6" t="e">
        <f>0.002378*(1-0.000068756*D10*'01_单位换算'!$K$2)^4.2561*'01_单位换算'!$O$2</f>
        <v>#NUM!</v>
      </c>
    </row>
    <row r="11" spans="1:5" x14ac:dyDescent="0.3">
      <c r="A11" s="6">
        <v>4500</v>
      </c>
      <c r="B11" s="6">
        <f t="shared" si="0"/>
        <v>2.0802521033847772E-3</v>
      </c>
      <c r="C11" s="5"/>
      <c r="D11" s="6">
        <v>4500</v>
      </c>
      <c r="E11" s="6" t="e">
        <f>0.002378*(1-0.000068756*D11*'01_单位换算'!$K$2)^4.2561*'01_单位换算'!$O$2</f>
        <v>#NUM!</v>
      </c>
    </row>
    <row r="12" spans="1:5" x14ac:dyDescent="0.3">
      <c r="A12" s="6">
        <v>5000</v>
      </c>
      <c r="B12" s="6">
        <f t="shared" si="0"/>
        <v>2.0490223611044941E-3</v>
      </c>
      <c r="C12" s="5"/>
      <c r="D12" s="6">
        <v>5000</v>
      </c>
      <c r="E12" s="6" t="e">
        <f>0.002378*(1-0.000068756*D12*'01_单位换算'!$K$2)^4.2561*'01_单位换算'!$O$2</f>
        <v>#NUM!</v>
      </c>
    </row>
    <row r="13" spans="1:5" x14ac:dyDescent="0.3">
      <c r="A13" s="6">
        <v>5500</v>
      </c>
      <c r="B13" s="6">
        <f t="shared" si="0"/>
        <v>2.0181525700971588E-3</v>
      </c>
      <c r="C13" s="5"/>
      <c r="D13" s="6">
        <v>5500</v>
      </c>
      <c r="E13" s="6" t="e">
        <f>0.002378*(1-0.000068756*D13*'01_单位换算'!$K$2)^4.2561*'01_单位换算'!$O$2</f>
        <v>#NUM!</v>
      </c>
    </row>
    <row r="14" spans="1:5" x14ac:dyDescent="0.3">
      <c r="A14" s="6">
        <v>6000</v>
      </c>
      <c r="B14" s="6">
        <f t="shared" si="0"/>
        <v>1.9876398455204681E-3</v>
      </c>
      <c r="C14" s="5"/>
      <c r="D14" s="6">
        <v>6000</v>
      </c>
      <c r="E14" s="6" t="e">
        <f>0.002378*(1-0.000068756*D14*'01_单位换算'!$K$2)^4.2561*'01_单位换算'!$O$2</f>
        <v>#NUM!</v>
      </c>
    </row>
    <row r="15" spans="1:5" x14ac:dyDescent="0.3">
      <c r="A15" s="6">
        <v>6500</v>
      </c>
      <c r="B15" s="6">
        <f t="shared" si="0"/>
        <v>1.9574813154506839E-3</v>
      </c>
      <c r="C15" s="5"/>
      <c r="D15" s="6">
        <v>6500</v>
      </c>
      <c r="E15" s="6" t="e">
        <f>0.002378*(1-0.000068756*D15*'01_单位换算'!$K$2)^4.2561*'01_单位换算'!$O$2</f>
        <v>#NUM!</v>
      </c>
    </row>
    <row r="16" spans="1:5" x14ac:dyDescent="0.3">
      <c r="A16" s="6">
        <v>7000</v>
      </c>
      <c r="B16" s="6">
        <f t="shared" si="0"/>
        <v>1.9276741208707948E-3</v>
      </c>
      <c r="C16" s="5"/>
      <c r="D16" s="6">
        <v>7000</v>
      </c>
      <c r="E16" s="6" t="e">
        <f>0.002378*(1-0.000068756*D16*'01_单位换算'!$K$2)^4.2561*'01_单位换算'!$O$2</f>
        <v>#NUM!</v>
      </c>
    </row>
    <row r="17" spans="1:5" x14ac:dyDescent="0.3">
      <c r="A17" s="6">
        <v>7500</v>
      </c>
      <c r="B17" s="6">
        <f t="shared" si="0"/>
        <v>1.8982154156586485E-3</v>
      </c>
      <c r="C17" s="5"/>
      <c r="D17" s="6">
        <v>7500</v>
      </c>
      <c r="E17" s="6" t="e">
        <f>0.002378*(1-0.000068756*D17*'01_单位换算'!$K$2)^4.2561*'01_单位换算'!$O$2</f>
        <v>#NUM!</v>
      </c>
    </row>
    <row r="18" spans="1:5" x14ac:dyDescent="0.3">
      <c r="A18" s="6">
        <v>8000</v>
      </c>
      <c r="B18" s="6">
        <f t="shared" si="0"/>
        <v>1.869102366575051E-3</v>
      </c>
      <c r="C18" s="5"/>
      <c r="D18" s="6">
        <v>8000</v>
      </c>
      <c r="E18" s="6" t="e">
        <f>0.002378*(1-0.000068756*D18*'01_单位换算'!$K$2)^4.2561*'01_单位换算'!$O$2</f>
        <v>#NUM!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26E7-1AAD-4A47-A7B7-759B07751849}">
  <sheetPr codeName="Sheet2"/>
  <dimension ref="A1:X20"/>
  <sheetViews>
    <sheetView zoomScale="115" zoomScaleNormal="115" workbookViewId="0">
      <selection activeCell="J5" sqref="J5"/>
    </sheetView>
  </sheetViews>
  <sheetFormatPr defaultRowHeight="14" x14ac:dyDescent="0.3"/>
  <cols>
    <col min="2" max="3" width="12.33203125" customWidth="1"/>
    <col min="6" max="6" width="13.1640625" customWidth="1"/>
    <col min="8" max="8" width="11.6640625" customWidth="1"/>
  </cols>
  <sheetData>
    <row r="1" spans="1:24" ht="18" thickBot="1" x14ac:dyDescent="0.35">
      <c r="A1" s="130" t="s">
        <v>3</v>
      </c>
      <c r="B1" s="131"/>
      <c r="C1" s="131"/>
      <c r="D1" s="132"/>
      <c r="E1" s="130" t="s">
        <v>4</v>
      </c>
      <c r="F1" s="131"/>
      <c r="G1" s="131"/>
      <c r="H1" s="132"/>
      <c r="I1" s="130" t="s">
        <v>71</v>
      </c>
      <c r="J1" s="131"/>
      <c r="K1" s="131"/>
      <c r="L1" s="132"/>
      <c r="M1" s="130" t="s">
        <v>93</v>
      </c>
      <c r="N1" s="131"/>
      <c r="O1" s="131"/>
      <c r="P1" s="132"/>
      <c r="Q1" s="130" t="s">
        <v>92</v>
      </c>
      <c r="R1" s="131"/>
      <c r="S1" s="131"/>
      <c r="T1" s="132"/>
      <c r="U1" s="130" t="s">
        <v>298</v>
      </c>
      <c r="V1" s="131"/>
      <c r="W1" s="131"/>
      <c r="X1" s="132"/>
    </row>
    <row r="2" spans="1:24" ht="16.5" x14ac:dyDescent="0.3">
      <c r="A2" s="94">
        <v>1</v>
      </c>
      <c r="B2" s="95" t="s">
        <v>5</v>
      </c>
      <c r="C2" s="95">
        <f>A2*0.453592</f>
        <v>0.453592</v>
      </c>
      <c r="D2" s="96" t="s">
        <v>6</v>
      </c>
      <c r="E2" s="94">
        <v>1</v>
      </c>
      <c r="F2" s="95" t="s">
        <v>75</v>
      </c>
      <c r="G2" s="95">
        <f>0.5144*E2</f>
        <v>0.51439999999999997</v>
      </c>
      <c r="H2" s="96" t="s">
        <v>7</v>
      </c>
      <c r="I2" s="94">
        <v>18000</v>
      </c>
      <c r="J2" s="95" t="s">
        <v>73</v>
      </c>
      <c r="K2" s="95">
        <f>0.3048*I2</f>
        <v>5486.4000000000005</v>
      </c>
      <c r="L2" s="96" t="s">
        <v>72</v>
      </c>
      <c r="M2" s="94">
        <v>1</v>
      </c>
      <c r="N2" s="95" t="s">
        <v>91</v>
      </c>
      <c r="O2" s="95">
        <f>M2*14.594/0.3048^3</f>
        <v>515.38224613340435</v>
      </c>
      <c r="P2" s="96" t="s">
        <v>94</v>
      </c>
      <c r="Q2" s="94">
        <v>1</v>
      </c>
      <c r="R2" s="95" t="s">
        <v>95</v>
      </c>
      <c r="S2" s="113">
        <f>C2*9.8/(K2^2)</f>
        <v>1.4767824631671208E-7</v>
      </c>
      <c r="T2" s="96" t="s">
        <v>96</v>
      </c>
      <c r="U2" s="94">
        <v>1</v>
      </c>
      <c r="V2" s="95" t="s">
        <v>299</v>
      </c>
      <c r="W2" s="113">
        <v>550</v>
      </c>
      <c r="X2" s="96" t="s">
        <v>300</v>
      </c>
    </row>
    <row r="3" spans="1:24" ht="17" thickBot="1" x14ac:dyDescent="0.35">
      <c r="A3" s="97">
        <v>1</v>
      </c>
      <c r="B3" s="98" t="s">
        <v>6</v>
      </c>
      <c r="C3" s="98">
        <f>A3*2.204623</f>
        <v>2.2046230000000002</v>
      </c>
      <c r="D3" s="99" t="s">
        <v>5</v>
      </c>
      <c r="E3" s="97">
        <v>1</v>
      </c>
      <c r="F3" s="98" t="s">
        <v>7</v>
      </c>
      <c r="G3" s="98">
        <f>1.944012*E3</f>
        <v>1.9440120000000001</v>
      </c>
      <c r="H3" s="99" t="s">
        <v>75</v>
      </c>
      <c r="I3" s="97">
        <v>1</v>
      </c>
      <c r="J3" s="98" t="s">
        <v>72</v>
      </c>
      <c r="K3" s="98">
        <f>1/K2*I3</f>
        <v>1.8226888305628461E-4</v>
      </c>
      <c r="L3" s="99" t="s">
        <v>73</v>
      </c>
      <c r="M3" s="97">
        <v>1</v>
      </c>
      <c r="N3" s="106" t="s">
        <v>94</v>
      </c>
      <c r="O3" s="98">
        <f>1/O2*M3</f>
        <v>1.9403074271618478E-3</v>
      </c>
      <c r="P3" s="110" t="s">
        <v>91</v>
      </c>
      <c r="Q3" s="97">
        <v>1</v>
      </c>
      <c r="R3" s="106" t="s">
        <v>96</v>
      </c>
      <c r="S3" s="114">
        <f>1/S2*Q3</f>
        <v>6771478.0270033209</v>
      </c>
      <c r="T3" s="110" t="s">
        <v>95</v>
      </c>
      <c r="U3" s="97">
        <v>1</v>
      </c>
      <c r="V3" s="106" t="s">
        <v>300</v>
      </c>
      <c r="W3" s="114">
        <f>1/W2*U3</f>
        <v>1.8181818181818182E-3</v>
      </c>
      <c r="X3" s="110" t="s">
        <v>299</v>
      </c>
    </row>
    <row r="4" spans="1:24" ht="16.5" x14ac:dyDescent="0.3">
      <c r="E4" s="100">
        <v>1</v>
      </c>
      <c r="F4" s="101" t="s">
        <v>74</v>
      </c>
      <c r="G4" s="101">
        <f>0.00508*E4</f>
        <v>5.0800000000000003E-3</v>
      </c>
      <c r="H4" s="102" t="s">
        <v>7</v>
      </c>
      <c r="I4" s="100">
        <v>1</v>
      </c>
      <c r="J4" s="101" t="s">
        <v>177</v>
      </c>
      <c r="K4" s="101">
        <v>8.3333000000000004E-2</v>
      </c>
      <c r="L4" s="102" t="s">
        <v>73</v>
      </c>
      <c r="M4" s="100">
        <v>1</v>
      </c>
      <c r="N4" s="101" t="s">
        <v>190</v>
      </c>
      <c r="O4" s="111">
        <f>1/O5*M4</f>
        <v>3.6057484197068369E-2</v>
      </c>
      <c r="P4" s="102" t="s">
        <v>191</v>
      </c>
      <c r="Q4" s="100">
        <v>1</v>
      </c>
      <c r="R4" s="101" t="s">
        <v>187</v>
      </c>
      <c r="S4" s="111">
        <f>1/S5*Q4</f>
        <v>6.8947572931783068E-3</v>
      </c>
      <c r="T4" s="102" t="s">
        <v>189</v>
      </c>
      <c r="U4" s="100">
        <v>1</v>
      </c>
      <c r="V4" s="101" t="s">
        <v>299</v>
      </c>
      <c r="W4" s="111">
        <v>0.746</v>
      </c>
      <c r="X4" s="102" t="s">
        <v>301</v>
      </c>
    </row>
    <row r="5" spans="1:24" ht="17" thickBot="1" x14ac:dyDescent="0.35">
      <c r="E5" s="103">
        <v>1</v>
      </c>
      <c r="F5" s="104" t="s">
        <v>7</v>
      </c>
      <c r="G5" s="104">
        <f>1/G4*E5</f>
        <v>196.85039370078738</v>
      </c>
      <c r="H5" s="105" t="s">
        <v>74</v>
      </c>
      <c r="I5" s="107">
        <v>1</v>
      </c>
      <c r="J5" s="108" t="s">
        <v>73</v>
      </c>
      <c r="K5" s="108">
        <f>1/K4*I5</f>
        <v>12.000048000192001</v>
      </c>
      <c r="L5" s="109" t="s">
        <v>177</v>
      </c>
      <c r="M5" s="107">
        <v>1</v>
      </c>
      <c r="N5" s="108" t="s">
        <v>191</v>
      </c>
      <c r="O5" s="112">
        <f>27.7334934*M5</f>
        <v>27.7334934</v>
      </c>
      <c r="P5" s="109" t="s">
        <v>190</v>
      </c>
      <c r="Q5" s="107">
        <v>1</v>
      </c>
      <c r="R5" s="108" t="s">
        <v>189</v>
      </c>
      <c r="S5" s="112">
        <f>145.03773773*Q5</f>
        <v>145.03773773</v>
      </c>
      <c r="T5" s="109" t="s">
        <v>187</v>
      </c>
      <c r="U5" s="107">
        <v>1</v>
      </c>
      <c r="V5" s="108" t="s">
        <v>301</v>
      </c>
      <c r="W5" s="112">
        <f>1/W4</f>
        <v>1.3404825737265416</v>
      </c>
      <c r="X5" s="109" t="s">
        <v>299</v>
      </c>
    </row>
    <row r="6" spans="1:24" x14ac:dyDescent="0.3">
      <c r="E6" s="94">
        <v>1</v>
      </c>
      <c r="F6" s="95" t="s">
        <v>74</v>
      </c>
      <c r="G6" s="95">
        <f>E6/60</f>
        <v>1.6666666666666666E-2</v>
      </c>
      <c r="H6" s="96" t="s">
        <v>100</v>
      </c>
      <c r="I6" s="94">
        <v>1</v>
      </c>
      <c r="J6" s="95" t="s">
        <v>177</v>
      </c>
      <c r="K6" s="95">
        <v>2.5399999999999999E-2</v>
      </c>
      <c r="L6" s="96" t="s">
        <v>72</v>
      </c>
      <c r="Q6" s="94">
        <v>1</v>
      </c>
      <c r="R6" s="95" t="s">
        <v>192</v>
      </c>
      <c r="S6" s="113">
        <f>S4*Q4*1000</f>
        <v>6.8947572931783068</v>
      </c>
      <c r="T6" s="96" t="s">
        <v>188</v>
      </c>
    </row>
    <row r="7" spans="1:24" ht="14.5" thickBot="1" x14ac:dyDescent="0.35">
      <c r="E7" s="97">
        <v>1</v>
      </c>
      <c r="F7" s="106" t="s">
        <v>100</v>
      </c>
      <c r="G7" s="98">
        <f>1/G6*E7</f>
        <v>60</v>
      </c>
      <c r="H7" s="99" t="s">
        <v>74</v>
      </c>
      <c r="I7" s="97">
        <v>1</v>
      </c>
      <c r="J7" s="106" t="s">
        <v>72</v>
      </c>
      <c r="K7" s="98">
        <f>1/K6*I7</f>
        <v>39.370078740157481</v>
      </c>
      <c r="L7" s="110" t="s">
        <v>177</v>
      </c>
      <c r="Q7" s="97">
        <v>1</v>
      </c>
      <c r="R7" s="98" t="s">
        <v>188</v>
      </c>
      <c r="S7" s="114">
        <f>1/S6*Q7</f>
        <v>0.14503773773</v>
      </c>
      <c r="T7" s="99" t="s">
        <v>192</v>
      </c>
    </row>
    <row r="8" spans="1:24" x14ac:dyDescent="0.3">
      <c r="E8" s="100">
        <v>1</v>
      </c>
      <c r="F8" s="101" t="s">
        <v>75</v>
      </c>
      <c r="G8" s="101">
        <f>1.687664*E8</f>
        <v>1.6876640000000001</v>
      </c>
      <c r="H8" s="102" t="s">
        <v>100</v>
      </c>
      <c r="S8" s="115"/>
    </row>
    <row r="9" spans="1:24" ht="14.5" thickBot="1" x14ac:dyDescent="0.35">
      <c r="E9" s="107">
        <v>1</v>
      </c>
      <c r="F9" s="108" t="s">
        <v>100</v>
      </c>
      <c r="G9" s="108">
        <f>1/G8*E9</f>
        <v>0.59253500696821171</v>
      </c>
      <c r="H9" s="109" t="s">
        <v>75</v>
      </c>
      <c r="S9" s="115"/>
    </row>
    <row r="10" spans="1:24" x14ac:dyDescent="0.3">
      <c r="S10" s="115"/>
    </row>
    <row r="11" spans="1:24" x14ac:dyDescent="0.3">
      <c r="S11" s="115"/>
    </row>
    <row r="12" spans="1:24" x14ac:dyDescent="0.3">
      <c r="S12" s="115"/>
    </row>
    <row r="13" spans="1:24" x14ac:dyDescent="0.3">
      <c r="S13" s="115"/>
    </row>
    <row r="14" spans="1:24" x14ac:dyDescent="0.3">
      <c r="S14" s="115"/>
    </row>
    <row r="15" spans="1:24" x14ac:dyDescent="0.3">
      <c r="S15" s="115"/>
    </row>
    <row r="16" spans="1:24" x14ac:dyDescent="0.3">
      <c r="S16" s="115"/>
    </row>
    <row r="17" spans="19:19" x14ac:dyDescent="0.3">
      <c r="S17" s="115"/>
    </row>
    <row r="18" spans="19:19" x14ac:dyDescent="0.3">
      <c r="S18" s="115"/>
    </row>
    <row r="19" spans="19:19" x14ac:dyDescent="0.3">
      <c r="S19" s="115"/>
    </row>
    <row r="20" spans="19:19" x14ac:dyDescent="0.3">
      <c r="S20" s="115"/>
    </row>
  </sheetData>
  <mergeCells count="6">
    <mergeCell ref="U1:X1"/>
    <mergeCell ref="Q1:T1"/>
    <mergeCell ref="A1:D1"/>
    <mergeCell ref="E1:H1"/>
    <mergeCell ref="I1:L1"/>
    <mergeCell ref="M1:P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H57"/>
  <sheetViews>
    <sheetView zoomScale="70" zoomScaleNormal="70" workbookViewId="0">
      <selection activeCell="N32" sqref="N32"/>
    </sheetView>
  </sheetViews>
  <sheetFormatPr defaultRowHeight="14" x14ac:dyDescent="0.3"/>
  <cols>
    <col min="1" max="1" width="7.25" customWidth="1"/>
    <col min="2" max="2" width="34.5" customWidth="1"/>
    <col min="4" max="4" width="10.58203125" customWidth="1"/>
    <col min="7" max="7" width="18.4140625" customWidth="1"/>
    <col min="8" max="8" width="10.4140625" customWidth="1"/>
    <col min="9" max="9" width="14.5" customWidth="1"/>
    <col min="10" max="10" width="16.75" customWidth="1"/>
    <col min="11" max="11" width="13.1640625" customWidth="1"/>
    <col min="13" max="13" width="11.4140625" customWidth="1"/>
    <col min="14" max="14" width="11.58203125" customWidth="1"/>
    <col min="15" max="15" width="12.1640625" customWidth="1"/>
    <col min="18" max="18" width="13.6640625" bestFit="1" customWidth="1"/>
    <col min="19" max="19" width="19" customWidth="1"/>
    <col min="20" max="20" width="20.33203125" customWidth="1"/>
    <col min="21" max="21" width="20.08203125" customWidth="1"/>
    <col min="22" max="22" width="18.4140625" customWidth="1"/>
  </cols>
  <sheetData>
    <row r="1" spans="1:22" ht="50" customHeight="1" thickBot="1" x14ac:dyDescent="0.35">
      <c r="A1" s="137" t="s">
        <v>69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9"/>
    </row>
    <row r="2" spans="1:22" ht="23.5" customHeight="1" thickBot="1" x14ac:dyDescent="0.35">
      <c r="A2" s="54" t="s">
        <v>30</v>
      </c>
      <c r="B2" s="13" t="s">
        <v>31</v>
      </c>
      <c r="C2" s="13" t="s">
        <v>32</v>
      </c>
      <c r="D2" s="13" t="s">
        <v>45</v>
      </c>
      <c r="E2" s="55" t="s">
        <v>46</v>
      </c>
      <c r="G2" s="140" t="s">
        <v>25</v>
      </c>
      <c r="H2" s="141"/>
      <c r="I2" s="141"/>
      <c r="J2" s="141"/>
      <c r="K2" s="142"/>
      <c r="M2" s="143" t="s">
        <v>57</v>
      </c>
      <c r="N2" s="144"/>
      <c r="O2" s="145"/>
      <c r="Q2" s="146" t="s">
        <v>62</v>
      </c>
      <c r="R2" s="147"/>
      <c r="S2" s="147"/>
      <c r="T2" s="147"/>
      <c r="U2" s="147"/>
      <c r="V2" s="148"/>
    </row>
    <row r="3" spans="1:22" ht="16.5" thickBot="1" x14ac:dyDescent="0.45">
      <c r="A3" s="23">
        <v>1</v>
      </c>
      <c r="B3" s="1" t="s">
        <v>20</v>
      </c>
      <c r="C3" s="3">
        <v>60</v>
      </c>
      <c r="D3" s="20">
        <f>C3*'01_单位换算'!C3</f>
        <v>132.27738000000002</v>
      </c>
      <c r="E3" s="24" t="s">
        <v>5</v>
      </c>
      <c r="G3" s="48" t="s">
        <v>29</v>
      </c>
      <c r="H3" s="49" t="s">
        <v>1</v>
      </c>
      <c r="I3" s="49" t="s">
        <v>26</v>
      </c>
      <c r="J3" s="49" t="s">
        <v>27</v>
      </c>
      <c r="K3" s="50" t="s">
        <v>28</v>
      </c>
      <c r="M3" s="42" t="s">
        <v>58</v>
      </c>
      <c r="N3" s="43" t="s">
        <v>60</v>
      </c>
      <c r="O3" s="44" t="s">
        <v>59</v>
      </c>
      <c r="Q3" s="48" t="s">
        <v>58</v>
      </c>
      <c r="R3" s="49" t="s">
        <v>63</v>
      </c>
      <c r="S3" s="49" t="s">
        <v>64</v>
      </c>
      <c r="T3" s="49" t="s">
        <v>65</v>
      </c>
      <c r="U3" s="49" t="s">
        <v>66</v>
      </c>
      <c r="V3" s="50" t="s">
        <v>67</v>
      </c>
    </row>
    <row r="4" spans="1:22" ht="16" x14ac:dyDescent="0.4">
      <c r="A4" s="23">
        <v>2</v>
      </c>
      <c r="B4" s="1" t="s">
        <v>19</v>
      </c>
      <c r="C4" s="3">
        <v>40</v>
      </c>
      <c r="D4" s="20">
        <f>C4*'01_单位换算'!G3</f>
        <v>77.760480000000001</v>
      </c>
      <c r="E4" s="24" t="s">
        <v>48</v>
      </c>
      <c r="G4" s="8" t="s">
        <v>0</v>
      </c>
      <c r="H4" s="7">
        <f>0.0396*(C3*'01_单位换算'!C3)^0.791*(C4*'01_单位换算'!G3)^1.526*C5^0.183*C8</f>
        <v>13773.043557048712</v>
      </c>
      <c r="I4" s="7">
        <v>150</v>
      </c>
      <c r="J4" s="14">
        <f>H4*I4*C12</f>
        <v>2107275.6642284528</v>
      </c>
      <c r="K4" s="17">
        <f>J4/$C$5</f>
        <v>421.45513284569057</v>
      </c>
      <c r="M4" s="33">
        <v>1</v>
      </c>
      <c r="N4" s="34">
        <f>(0.95)^(1.4427*LN(M4))</f>
        <v>1</v>
      </c>
      <c r="O4" s="35">
        <f t="shared" ref="O4:O21" si="0">N4*SUM($J$14:$J$16)+SUM($K$4:$K$11)</f>
        <v>204561.07566130464</v>
      </c>
      <c r="Q4" s="33">
        <v>1</v>
      </c>
      <c r="R4" s="45">
        <f>$J$8</f>
        <v>5481568.2814894356</v>
      </c>
      <c r="S4" s="46">
        <f t="shared" ref="S4:S21" si="1">R4+($K$9+$K$10+$K$11+O4)*M4</f>
        <v>5779594.1191557469</v>
      </c>
      <c r="T4" s="46">
        <f>200000*Q4</f>
        <v>200000</v>
      </c>
      <c r="U4" s="46">
        <f>250000*Q4</f>
        <v>250000</v>
      </c>
      <c r="V4" s="47">
        <f>300000*Q4</f>
        <v>300000</v>
      </c>
    </row>
    <row r="5" spans="1:22" x14ac:dyDescent="0.3">
      <c r="A5" s="23">
        <v>3</v>
      </c>
      <c r="B5" s="1" t="s">
        <v>18</v>
      </c>
      <c r="C5" s="3">
        <v>5000</v>
      </c>
      <c r="D5" s="3" t="s">
        <v>47</v>
      </c>
      <c r="E5" s="24" t="s">
        <v>47</v>
      </c>
      <c r="G5" s="9" t="s">
        <v>34</v>
      </c>
      <c r="H5" s="133" t="s">
        <v>47</v>
      </c>
      <c r="I5" s="134"/>
      <c r="J5" s="15">
        <f>0.06458*D3^0.873*D4^1.89*C13^0.346*C12*C6*C7*C8*C9</f>
        <v>652468.93442697776</v>
      </c>
      <c r="K5" s="17">
        <f t="shared" ref="K5:K11" si="2">J5/$C$5</f>
        <v>130.49378688539556</v>
      </c>
      <c r="M5" s="62">
        <v>3</v>
      </c>
      <c r="N5" s="63">
        <f>(0.95)^(1.4427*LN(M5))</f>
        <v>0.92191870884289939</v>
      </c>
      <c r="O5" s="64">
        <f t="shared" si="0"/>
        <v>195972.13363402354</v>
      </c>
      <c r="Q5" s="31">
        <v>3</v>
      </c>
      <c r="R5" s="37">
        <f t="shared" ref="R5:R21" si="3">$J$8</f>
        <v>5481568.2814894356</v>
      </c>
      <c r="S5" s="36">
        <f t="shared" si="1"/>
        <v>6349878.9684065264</v>
      </c>
      <c r="T5" s="36">
        <f t="shared" ref="T5:T21" si="4">200000*Q5</f>
        <v>600000</v>
      </c>
      <c r="U5" s="36">
        <f t="shared" ref="U5:U21" si="5">250000*Q5</f>
        <v>750000</v>
      </c>
      <c r="V5" s="38">
        <f t="shared" ref="V5:V21" si="6">300000*Q5</f>
        <v>900000</v>
      </c>
    </row>
    <row r="6" spans="1:22" ht="17.5" x14ac:dyDescent="0.4">
      <c r="A6" s="23">
        <v>4</v>
      </c>
      <c r="B6" s="1" t="s">
        <v>21</v>
      </c>
      <c r="C6" s="3">
        <v>10</v>
      </c>
      <c r="D6" s="3" t="s">
        <v>47</v>
      </c>
      <c r="E6" s="24" t="s">
        <v>47</v>
      </c>
      <c r="G6" s="9" t="s">
        <v>33</v>
      </c>
      <c r="H6" s="133" t="s">
        <v>47</v>
      </c>
      <c r="I6" s="134"/>
      <c r="J6" s="15">
        <f>0.009646*D3^1.16*D4^1.3718*C13^1.281*C12*C6</f>
        <v>110770.86901340175</v>
      </c>
      <c r="K6" s="17">
        <f t="shared" si="2"/>
        <v>22.154173802680351</v>
      </c>
      <c r="M6" s="62">
        <v>5</v>
      </c>
      <c r="N6" s="63">
        <f t="shared" ref="N6" si="7">(0.95)^(1.4427*LN(M6))</f>
        <v>0.88771924572104632</v>
      </c>
      <c r="O6" s="64">
        <f t="shared" si="0"/>
        <v>192210.19269061973</v>
      </c>
      <c r="Q6" s="31">
        <v>5</v>
      </c>
      <c r="R6" s="37">
        <f t="shared" si="3"/>
        <v>5481568.2814894356</v>
      </c>
      <c r="S6" s="36">
        <f t="shared" si="1"/>
        <v>6909943.0549675673</v>
      </c>
      <c r="T6" s="36">
        <f t="shared" si="4"/>
        <v>1000000</v>
      </c>
      <c r="U6" s="36">
        <f t="shared" si="5"/>
        <v>1250000</v>
      </c>
      <c r="V6" s="38">
        <f t="shared" si="6"/>
        <v>1500000</v>
      </c>
    </row>
    <row r="7" spans="1:22" ht="17.5" x14ac:dyDescent="0.4">
      <c r="A7" s="23">
        <v>5</v>
      </c>
      <c r="B7" s="1" t="s">
        <v>22</v>
      </c>
      <c r="C7" s="3">
        <v>1</v>
      </c>
      <c r="D7" s="3" t="s">
        <v>47</v>
      </c>
      <c r="E7" s="24" t="s">
        <v>47</v>
      </c>
      <c r="G7" s="9" t="s">
        <v>2</v>
      </c>
      <c r="H7" s="6">
        <f>1.0032*(C3*'01_单位换算'!C3)^0.764*(C4*'01_单位换算'!G3)^0.899*C5^0.178*C10^0.066*C11*C7*C8*C9</f>
        <v>25598.556998241213</v>
      </c>
      <c r="I7" s="6">
        <v>100</v>
      </c>
      <c r="J7" s="15">
        <f>H7*I7*C12</f>
        <v>2611052.8138206038</v>
      </c>
      <c r="K7" s="17">
        <f t="shared" si="2"/>
        <v>522.21056276412071</v>
      </c>
      <c r="M7" s="62">
        <v>10</v>
      </c>
      <c r="N7" s="63">
        <f>(0.95)^(1.4427*LN(M7))</f>
        <v>0.84333313474248517</v>
      </c>
      <c r="O7" s="64">
        <f t="shared" si="0"/>
        <v>187327.72048297798</v>
      </c>
      <c r="Q7" s="31">
        <v>10</v>
      </c>
      <c r="R7" s="37">
        <f t="shared" si="3"/>
        <v>5481568.2814894356</v>
      </c>
      <c r="S7" s="36">
        <f t="shared" si="1"/>
        <v>8289493.1063692831</v>
      </c>
      <c r="T7" s="36">
        <f t="shared" si="4"/>
        <v>2000000</v>
      </c>
      <c r="U7" s="36">
        <f t="shared" si="5"/>
        <v>2500000</v>
      </c>
      <c r="V7" s="38">
        <f t="shared" si="6"/>
        <v>3000000</v>
      </c>
    </row>
    <row r="8" spans="1:22" ht="17.5" x14ac:dyDescent="0.4">
      <c r="A8" s="23">
        <v>6</v>
      </c>
      <c r="B8" s="1" t="s">
        <v>23</v>
      </c>
      <c r="C8" s="3">
        <v>2</v>
      </c>
      <c r="D8" s="3" t="s">
        <v>47</v>
      </c>
      <c r="E8" s="24" t="s">
        <v>47</v>
      </c>
      <c r="G8" s="9" t="s">
        <v>61</v>
      </c>
      <c r="H8" s="133" t="s">
        <v>47</v>
      </c>
      <c r="I8" s="134"/>
      <c r="J8" s="15">
        <f>SUM(J4:J7)</f>
        <v>5481568.2814894356</v>
      </c>
      <c r="K8" s="17" t="s">
        <v>47</v>
      </c>
      <c r="M8" s="62">
        <v>100</v>
      </c>
      <c r="N8" s="63">
        <f>(0.95)^(1.4427*LN(M8))</f>
        <v>0.71121077615458661</v>
      </c>
      <c r="O8" s="64">
        <f t="shared" si="0"/>
        <v>172794.26103830914</v>
      </c>
      <c r="Q8" s="31">
        <v>100</v>
      </c>
      <c r="R8" s="37">
        <f t="shared" si="3"/>
        <v>5481568.2814894356</v>
      </c>
      <c r="S8" s="52">
        <f t="shared" si="1"/>
        <v>32107470.585821021</v>
      </c>
      <c r="T8" s="36">
        <f t="shared" si="4"/>
        <v>20000000</v>
      </c>
      <c r="U8" s="36">
        <f t="shared" si="5"/>
        <v>25000000</v>
      </c>
      <c r="V8" s="53">
        <f t="shared" si="6"/>
        <v>30000000</v>
      </c>
    </row>
    <row r="9" spans="1:22" ht="17.5" x14ac:dyDescent="0.4">
      <c r="A9" s="25">
        <v>7</v>
      </c>
      <c r="B9" s="12" t="s">
        <v>24</v>
      </c>
      <c r="C9" s="3">
        <v>1</v>
      </c>
      <c r="D9" s="3" t="s">
        <v>47</v>
      </c>
      <c r="E9" s="24" t="s">
        <v>47</v>
      </c>
      <c r="G9" s="9" t="s">
        <v>35</v>
      </c>
      <c r="H9" s="6">
        <f>9.6613*(C3*'01_单位换算'!C3)^0.74*(C4*'01_单位换算'!G3)^0.543*C5^0.524*C6*C7*C8</f>
        <v>6620751.3646853268</v>
      </c>
      <c r="I9" s="6">
        <v>60</v>
      </c>
      <c r="J9" s="15">
        <f>H9*I9*C12</f>
        <v>405189983.51874202</v>
      </c>
      <c r="K9" s="17">
        <f t="shared" si="2"/>
        <v>81037.996703748402</v>
      </c>
      <c r="M9" s="62">
        <v>200</v>
      </c>
      <c r="N9" s="63">
        <f t="shared" ref="N9:N11" si="8">(0.95)^(1.4427*LN(M9))</f>
        <v>0.67565011821942478</v>
      </c>
      <c r="O9" s="64">
        <f t="shared" si="0"/>
        <v>168882.58866544135</v>
      </c>
      <c r="Q9" s="31">
        <v>200</v>
      </c>
      <c r="R9" s="37">
        <f t="shared" si="3"/>
        <v>5481568.2814894356</v>
      </c>
      <c r="S9" s="52">
        <f t="shared" si="1"/>
        <v>57951038.415579051</v>
      </c>
      <c r="T9" s="36">
        <f t="shared" si="4"/>
        <v>40000000</v>
      </c>
      <c r="U9" s="36">
        <f t="shared" si="5"/>
        <v>50000000</v>
      </c>
      <c r="V9" s="53">
        <f t="shared" si="6"/>
        <v>60000000</v>
      </c>
    </row>
    <row r="10" spans="1:22" ht="16" x14ac:dyDescent="0.4">
      <c r="A10" s="25">
        <v>8</v>
      </c>
      <c r="B10" s="12" t="s">
        <v>42</v>
      </c>
      <c r="C10" s="3">
        <f>C5/5/12</f>
        <v>83.333333333333329</v>
      </c>
      <c r="D10" s="3" t="s">
        <v>47</v>
      </c>
      <c r="E10" s="24" t="s">
        <v>47</v>
      </c>
      <c r="G10" s="9" t="s">
        <v>36</v>
      </c>
      <c r="H10" s="133" t="s">
        <v>47</v>
      </c>
      <c r="I10" s="134"/>
      <c r="J10" s="15">
        <f>0.013*J9*C6*C8/2</f>
        <v>52674697.857436463</v>
      </c>
      <c r="K10" s="17">
        <f t="shared" si="2"/>
        <v>10534.939571487294</v>
      </c>
      <c r="M10" s="62">
        <v>300</v>
      </c>
      <c r="N10" s="63">
        <f t="shared" si="8"/>
        <v>0.6556785204675929</v>
      </c>
      <c r="O10" s="64">
        <f t="shared" si="0"/>
        <v>166685.71291273984</v>
      </c>
      <c r="Q10" s="31">
        <v>300</v>
      </c>
      <c r="R10" s="37">
        <f t="shared" si="3"/>
        <v>5481568.2814894356</v>
      </c>
      <c r="S10" s="36">
        <f t="shared" si="1"/>
        <v>83526710.756813392</v>
      </c>
      <c r="T10" s="36">
        <f t="shared" si="4"/>
        <v>60000000</v>
      </c>
      <c r="U10" s="36">
        <f t="shared" si="5"/>
        <v>75000000</v>
      </c>
      <c r="V10" s="38">
        <f t="shared" si="6"/>
        <v>90000000</v>
      </c>
    </row>
    <row r="11" spans="1:22" ht="16" x14ac:dyDescent="0.4">
      <c r="A11" s="25">
        <v>9</v>
      </c>
      <c r="B11" s="12" t="s">
        <v>43</v>
      </c>
      <c r="C11" s="3">
        <v>1</v>
      </c>
      <c r="D11" s="3" t="s">
        <v>47</v>
      </c>
      <c r="E11" s="24" t="s">
        <v>47</v>
      </c>
      <c r="G11" s="9" t="s">
        <v>37</v>
      </c>
      <c r="H11" s="133" t="s">
        <v>47</v>
      </c>
      <c r="I11" s="134"/>
      <c r="J11" s="15">
        <f>2.4896*D3^0.689*D4^0.624*C5^0.792*C12*C6*C7*C9</f>
        <v>9459128.6488552187</v>
      </c>
      <c r="K11" s="17">
        <f t="shared" si="2"/>
        <v>1891.8257297710438</v>
      </c>
      <c r="M11" s="62">
        <v>400</v>
      </c>
      <c r="N11" s="63">
        <f t="shared" si="8"/>
        <v>0.64186749913741248</v>
      </c>
      <c r="O11" s="64">
        <f t="shared" si="0"/>
        <v>165166.50056642</v>
      </c>
      <c r="Q11" s="31">
        <v>400</v>
      </c>
      <c r="R11" s="37">
        <f t="shared" si="3"/>
        <v>5481568.2814894356</v>
      </c>
      <c r="S11" s="36">
        <f t="shared" si="1"/>
        <v>108934073.31006013</v>
      </c>
      <c r="T11" s="36">
        <f t="shared" si="4"/>
        <v>80000000</v>
      </c>
      <c r="U11" s="36">
        <f t="shared" si="5"/>
        <v>100000000</v>
      </c>
      <c r="V11" s="38">
        <f t="shared" si="6"/>
        <v>120000000</v>
      </c>
    </row>
    <row r="12" spans="1:22" ht="16" x14ac:dyDescent="0.4">
      <c r="A12" s="25">
        <v>10</v>
      </c>
      <c r="B12" s="12" t="s">
        <v>44</v>
      </c>
      <c r="C12" s="3">
        <v>1.02</v>
      </c>
      <c r="D12" s="3" t="s">
        <v>47</v>
      </c>
      <c r="E12" s="24" t="s">
        <v>47</v>
      </c>
      <c r="G12" s="136"/>
      <c r="H12" s="135"/>
      <c r="I12" s="135"/>
      <c r="J12" s="15" t="s">
        <v>55</v>
      </c>
      <c r="K12" s="17" t="s">
        <v>56</v>
      </c>
      <c r="M12" s="62">
        <v>500</v>
      </c>
      <c r="N12" s="63">
        <f>(0.95)^(1.4427*LN(M12))</f>
        <v>0.63135549375662958</v>
      </c>
      <c r="O12" s="64">
        <f t="shared" si="0"/>
        <v>164010.17997453388</v>
      </c>
      <c r="Q12" s="31">
        <v>500</v>
      </c>
      <c r="R12" s="37">
        <f t="shared" si="3"/>
        <v>5481568.2814894356</v>
      </c>
      <c r="S12" s="36">
        <f t="shared" si="1"/>
        <v>134219039.27125975</v>
      </c>
      <c r="T12" s="36">
        <f t="shared" si="4"/>
        <v>100000000</v>
      </c>
      <c r="U12" s="36">
        <f t="shared" si="5"/>
        <v>125000000</v>
      </c>
      <c r="V12" s="38">
        <f t="shared" si="6"/>
        <v>150000000</v>
      </c>
    </row>
    <row r="13" spans="1:22" ht="16" x14ac:dyDescent="0.4">
      <c r="A13" s="25">
        <v>11</v>
      </c>
      <c r="B13" s="12" t="s">
        <v>49</v>
      </c>
      <c r="C13" s="3">
        <v>6</v>
      </c>
      <c r="D13" s="3" t="s">
        <v>47</v>
      </c>
      <c r="E13" s="24" t="s">
        <v>47</v>
      </c>
      <c r="G13" s="9" t="s">
        <v>38</v>
      </c>
      <c r="H13" s="133" t="s">
        <v>47</v>
      </c>
      <c r="I13" s="135"/>
      <c r="J13" s="134"/>
      <c r="K13" s="30">
        <f>(0.95)^(1.4427*LN(C5))</f>
        <v>0.53244300768666786</v>
      </c>
      <c r="M13" s="62">
        <v>1000</v>
      </c>
      <c r="N13" s="63">
        <f t="shared" ref="N13:N21" si="9">(0.95)^(1.4427*LN(M13))</f>
        <v>0.59978761331708352</v>
      </c>
      <c r="O13" s="64">
        <f t="shared" si="0"/>
        <v>160537.71312618381</v>
      </c>
      <c r="Q13" s="31">
        <v>1000</v>
      </c>
      <c r="R13" s="37">
        <f t="shared" si="3"/>
        <v>5481568.2814894356</v>
      </c>
      <c r="S13" s="36">
        <f t="shared" si="1"/>
        <v>259484043.41268</v>
      </c>
      <c r="T13" s="36">
        <f t="shared" si="4"/>
        <v>200000000</v>
      </c>
      <c r="U13" s="36">
        <f t="shared" si="5"/>
        <v>250000000</v>
      </c>
      <c r="V13" s="38">
        <f t="shared" si="6"/>
        <v>300000000</v>
      </c>
    </row>
    <row r="14" spans="1:22" ht="16" x14ac:dyDescent="0.4">
      <c r="A14" s="25">
        <v>12</v>
      </c>
      <c r="B14" s="1" t="s">
        <v>52</v>
      </c>
      <c r="C14" s="3">
        <v>1</v>
      </c>
      <c r="D14" s="3" t="s">
        <v>47</v>
      </c>
      <c r="E14" s="24" t="s">
        <v>47</v>
      </c>
      <c r="G14" s="9" t="s">
        <v>51</v>
      </c>
      <c r="H14" s="6"/>
      <c r="I14" s="6"/>
      <c r="J14" s="15">
        <v>30000</v>
      </c>
      <c r="K14" s="18">
        <f>J14*$K$13</f>
        <v>15973.290230600036</v>
      </c>
      <c r="M14" s="62">
        <v>1500</v>
      </c>
      <c r="N14" s="63">
        <f t="shared" si="9"/>
        <v>0.5820584416249831</v>
      </c>
      <c r="O14" s="64">
        <f t="shared" si="0"/>
        <v>158587.50424005277</v>
      </c>
      <c r="Q14" s="31">
        <v>1500</v>
      </c>
      <c r="R14" s="37">
        <f t="shared" si="3"/>
        <v>5481568.2814894356</v>
      </c>
      <c r="S14" s="36">
        <f t="shared" si="1"/>
        <v>383559967.64907867</v>
      </c>
      <c r="T14" s="36">
        <f t="shared" si="4"/>
        <v>300000000</v>
      </c>
      <c r="U14" s="36">
        <f t="shared" si="5"/>
        <v>375000000</v>
      </c>
      <c r="V14" s="38">
        <f t="shared" si="6"/>
        <v>450000000</v>
      </c>
    </row>
    <row r="15" spans="1:22" ht="16" x14ac:dyDescent="0.4">
      <c r="A15" s="25">
        <v>13</v>
      </c>
      <c r="B15" s="12" t="s">
        <v>53</v>
      </c>
      <c r="C15" s="3">
        <v>38</v>
      </c>
      <c r="D15" s="3"/>
      <c r="E15" s="24"/>
      <c r="G15" s="9" t="s">
        <v>54</v>
      </c>
      <c r="H15" s="6"/>
      <c r="I15" s="6"/>
      <c r="J15" s="15">
        <v>30000</v>
      </c>
      <c r="K15" s="18">
        <f t="shared" ref="K15:K16" si="10">J15*$K$13</f>
        <v>15973.290230600036</v>
      </c>
      <c r="M15" s="62">
        <v>2000</v>
      </c>
      <c r="N15" s="63">
        <f t="shared" si="9"/>
        <v>0.56979813218711817</v>
      </c>
      <c r="O15" s="64">
        <f t="shared" si="0"/>
        <v>157238.87020188762</v>
      </c>
      <c r="Q15" s="31">
        <v>2000</v>
      </c>
      <c r="R15" s="37">
        <f t="shared" si="3"/>
        <v>5481568.2814894356</v>
      </c>
      <c r="S15" s="36">
        <f t="shared" si="1"/>
        <v>506888832.69527811</v>
      </c>
      <c r="T15" s="36">
        <f t="shared" si="4"/>
        <v>400000000</v>
      </c>
      <c r="U15" s="36">
        <f t="shared" si="5"/>
        <v>500000000</v>
      </c>
      <c r="V15" s="38">
        <f t="shared" si="6"/>
        <v>600000000</v>
      </c>
    </row>
    <row r="16" spans="1:22" x14ac:dyDescent="0.3">
      <c r="A16" s="25">
        <v>14</v>
      </c>
      <c r="B16" s="12"/>
      <c r="C16" s="3"/>
      <c r="D16" s="3"/>
      <c r="E16" s="24"/>
      <c r="G16" s="9" t="s">
        <v>39</v>
      </c>
      <c r="H16" s="6"/>
      <c r="I16" s="6"/>
      <c r="J16" s="15">
        <v>50000</v>
      </c>
      <c r="K16" s="18">
        <f t="shared" si="10"/>
        <v>26622.150384333392</v>
      </c>
      <c r="M16" s="62">
        <v>2500</v>
      </c>
      <c r="N16" s="63">
        <f t="shared" si="9"/>
        <v>0.560466422699474</v>
      </c>
      <c r="O16" s="64">
        <f t="shared" si="0"/>
        <v>156212.38215824676</v>
      </c>
      <c r="Q16" s="31">
        <v>2500</v>
      </c>
      <c r="R16" s="37">
        <f t="shared" si="3"/>
        <v>5481568.2814894356</v>
      </c>
      <c r="S16" s="36">
        <f t="shared" si="1"/>
        <v>629674428.68962324</v>
      </c>
      <c r="T16" s="36">
        <f t="shared" si="4"/>
        <v>500000000</v>
      </c>
      <c r="U16" s="36">
        <f t="shared" si="5"/>
        <v>625000000</v>
      </c>
      <c r="V16" s="38">
        <f t="shared" si="6"/>
        <v>750000000</v>
      </c>
    </row>
    <row r="17" spans="1:22" x14ac:dyDescent="0.3">
      <c r="A17" s="25">
        <v>15</v>
      </c>
      <c r="B17" s="12"/>
      <c r="C17" s="3"/>
      <c r="D17" s="3"/>
      <c r="E17" s="24"/>
      <c r="G17" s="9" t="s">
        <v>40</v>
      </c>
      <c r="H17" s="6"/>
      <c r="I17" s="6"/>
      <c r="J17" s="15">
        <f>SUM(K4:K11)+SUM(J14:J16)</f>
        <v>204561.07566130464</v>
      </c>
      <c r="K17" s="18">
        <f>SUM(K4:K11)+SUM(K14:K16)</f>
        <v>153129.8065068381</v>
      </c>
      <c r="M17" s="62">
        <v>3000</v>
      </c>
      <c r="N17" s="63">
        <f t="shared" si="9"/>
        <v>0.55295542204924986</v>
      </c>
      <c r="O17" s="64">
        <f t="shared" si="0"/>
        <v>155386.1720867221</v>
      </c>
      <c r="Q17" s="31">
        <v>3000</v>
      </c>
      <c r="R17" s="37">
        <f t="shared" si="3"/>
        <v>5481568.2814894356</v>
      </c>
      <c r="S17" s="52">
        <f t="shared" si="1"/>
        <v>752034370.55667591</v>
      </c>
      <c r="T17" s="36">
        <f t="shared" si="4"/>
        <v>600000000</v>
      </c>
      <c r="U17" s="51">
        <f t="shared" si="5"/>
        <v>750000000</v>
      </c>
      <c r="V17" s="38">
        <f t="shared" si="6"/>
        <v>900000000</v>
      </c>
    </row>
    <row r="18" spans="1:22" ht="14.5" thickBot="1" x14ac:dyDescent="0.35">
      <c r="A18" s="26">
        <v>16</v>
      </c>
      <c r="B18" s="27"/>
      <c r="C18" s="28"/>
      <c r="D18" s="28"/>
      <c r="E18" s="29"/>
      <c r="G18" s="10" t="s">
        <v>41</v>
      </c>
      <c r="H18" s="11"/>
      <c r="I18" s="11"/>
      <c r="J18" s="16"/>
      <c r="K18" s="19">
        <f>K17</f>
        <v>153129.8065068381</v>
      </c>
      <c r="M18" s="62">
        <v>3500</v>
      </c>
      <c r="N18" s="63">
        <f t="shared" si="9"/>
        <v>0.54668354572638478</v>
      </c>
      <c r="O18" s="64">
        <f t="shared" si="0"/>
        <v>154696.26569120697</v>
      </c>
      <c r="Q18" s="31">
        <v>3500</v>
      </c>
      <c r="R18" s="37">
        <f t="shared" si="3"/>
        <v>5481568.2814894356</v>
      </c>
      <c r="S18" s="52">
        <f t="shared" si="1"/>
        <v>874045165.2182374</v>
      </c>
      <c r="T18" s="36">
        <f t="shared" si="4"/>
        <v>700000000</v>
      </c>
      <c r="U18" s="51">
        <f t="shared" si="5"/>
        <v>875000000</v>
      </c>
      <c r="V18" s="38">
        <f t="shared" si="6"/>
        <v>1050000000</v>
      </c>
    </row>
    <row r="19" spans="1:22" x14ac:dyDescent="0.3">
      <c r="C19" s="4"/>
      <c r="M19" s="62">
        <v>4000</v>
      </c>
      <c r="N19" s="63">
        <f t="shared" si="9"/>
        <v>0.5413081301368734</v>
      </c>
      <c r="O19" s="64">
        <f t="shared" si="0"/>
        <v>154104.96997636071</v>
      </c>
      <c r="Q19" s="31">
        <v>4000</v>
      </c>
      <c r="R19" s="37">
        <f t="shared" si="3"/>
        <v>5481568.2814894356</v>
      </c>
      <c r="S19" s="36">
        <f t="shared" si="1"/>
        <v>995760496.20695937</v>
      </c>
      <c r="T19" s="36">
        <f t="shared" si="4"/>
        <v>800000000</v>
      </c>
      <c r="U19" s="36">
        <f t="shared" si="5"/>
        <v>1000000000</v>
      </c>
      <c r="V19" s="38">
        <f t="shared" si="6"/>
        <v>1200000000</v>
      </c>
    </row>
    <row r="20" spans="1:22" x14ac:dyDescent="0.3">
      <c r="C20" s="4"/>
      <c r="M20" s="62">
        <v>4500</v>
      </c>
      <c r="N20" s="63">
        <f t="shared" si="9"/>
        <v>0.53661056697401455</v>
      </c>
      <c r="O20" s="64">
        <f t="shared" si="0"/>
        <v>153588.23802844621</v>
      </c>
      <c r="Q20" s="31">
        <v>4500</v>
      </c>
      <c r="R20" s="37">
        <f t="shared" si="3"/>
        <v>5481568.2814894356</v>
      </c>
      <c r="S20" s="36">
        <f t="shared" si="1"/>
        <v>1117220068.4320276</v>
      </c>
      <c r="T20" s="36">
        <f t="shared" si="4"/>
        <v>900000000</v>
      </c>
      <c r="U20" s="36">
        <f t="shared" si="5"/>
        <v>1125000000</v>
      </c>
      <c r="V20" s="38">
        <f t="shared" si="6"/>
        <v>1350000000</v>
      </c>
    </row>
    <row r="21" spans="1:22" ht="14.5" thickBot="1" x14ac:dyDescent="0.35">
      <c r="M21" s="65">
        <v>5000</v>
      </c>
      <c r="N21" s="66">
        <f t="shared" si="9"/>
        <v>0.53244300768666786</v>
      </c>
      <c r="O21" s="67">
        <f t="shared" si="0"/>
        <v>153129.8065068381</v>
      </c>
      <c r="Q21" s="32">
        <v>5000</v>
      </c>
      <c r="R21" s="39">
        <f t="shared" si="3"/>
        <v>5481568.2814894356</v>
      </c>
      <c r="S21" s="40">
        <f t="shared" si="1"/>
        <v>1238454410.8407135</v>
      </c>
      <c r="T21" s="40">
        <f t="shared" si="4"/>
        <v>1000000000</v>
      </c>
      <c r="U21" s="40">
        <f t="shared" si="5"/>
        <v>1250000000</v>
      </c>
      <c r="V21" s="41">
        <f t="shared" si="6"/>
        <v>1500000000</v>
      </c>
    </row>
    <row r="22" spans="1:22" x14ac:dyDescent="0.3">
      <c r="G22" s="4"/>
    </row>
    <row r="23" spans="1:22" x14ac:dyDescent="0.3">
      <c r="G23" s="22"/>
      <c r="H23" s="22"/>
      <c r="I23" s="22"/>
    </row>
    <row r="24" spans="1:22" x14ac:dyDescent="0.3">
      <c r="G24" s="22"/>
      <c r="H24" s="22"/>
      <c r="I24" s="22"/>
    </row>
    <row r="25" spans="1:22" x14ac:dyDescent="0.3">
      <c r="A25" s="4"/>
      <c r="B25" s="4"/>
      <c r="C25" s="4"/>
      <c r="D25" s="4"/>
      <c r="E25" s="4"/>
      <c r="F25" s="4"/>
      <c r="G25" s="22"/>
      <c r="H25" s="22"/>
      <c r="I25" s="22"/>
      <c r="J25" s="22"/>
      <c r="K25" s="22"/>
    </row>
    <row r="26" spans="1:22" ht="14" customHeight="1" x14ac:dyDescent="0.3">
      <c r="A26" s="5" t="s">
        <v>8</v>
      </c>
      <c r="B26" s="21" t="s">
        <v>9</v>
      </c>
      <c r="C26" s="22"/>
      <c r="D26" s="22"/>
      <c r="E26" s="22"/>
      <c r="F26" s="22"/>
      <c r="G26" s="22"/>
      <c r="H26" s="22"/>
      <c r="I26" s="22"/>
    </row>
    <row r="27" spans="1:22" x14ac:dyDescent="0.3">
      <c r="A27" s="5" t="s">
        <v>10</v>
      </c>
      <c r="B27" s="21" t="s">
        <v>15</v>
      </c>
      <c r="C27" s="22"/>
      <c r="D27" s="22"/>
      <c r="E27" s="22"/>
      <c r="F27" s="22"/>
      <c r="G27" s="22"/>
      <c r="H27" s="22"/>
      <c r="I27" s="22"/>
    </row>
    <row r="28" spans="1:22" ht="16" x14ac:dyDescent="0.4">
      <c r="A28" s="5" t="s">
        <v>11</v>
      </c>
      <c r="B28" s="22" t="s">
        <v>16</v>
      </c>
      <c r="C28" s="22"/>
      <c r="D28" s="22"/>
      <c r="E28" s="22"/>
      <c r="F28" s="22"/>
      <c r="G28" s="4"/>
      <c r="H28" s="4"/>
      <c r="I28" s="4"/>
      <c r="L28" s="22"/>
    </row>
    <row r="29" spans="1:22" x14ac:dyDescent="0.3">
      <c r="A29" s="5" t="s">
        <v>12</v>
      </c>
      <c r="B29" s="22" t="s">
        <v>17</v>
      </c>
      <c r="C29" s="22"/>
      <c r="D29" s="22"/>
      <c r="E29" s="22"/>
      <c r="F29" s="22"/>
    </row>
    <row r="30" spans="1:22" ht="14" customHeight="1" x14ac:dyDescent="0.3">
      <c r="A30" s="5" t="s">
        <v>13</v>
      </c>
      <c r="B30" s="21" t="s">
        <v>50</v>
      </c>
      <c r="C30" s="22"/>
      <c r="D30" s="22"/>
      <c r="E30" s="22"/>
      <c r="F30" s="22"/>
    </row>
    <row r="31" spans="1:22" x14ac:dyDescent="0.3">
      <c r="A31" s="5" t="s">
        <v>14</v>
      </c>
      <c r="B31" s="4"/>
      <c r="C31" s="4"/>
      <c r="D31" s="4"/>
      <c r="E31" s="4"/>
      <c r="F31" s="4"/>
    </row>
    <row r="57" spans="34:34" x14ac:dyDescent="0.3">
      <c r="AH57" t="s">
        <v>68</v>
      </c>
    </row>
  </sheetData>
  <mergeCells count="11">
    <mergeCell ref="H10:I10"/>
    <mergeCell ref="H13:J13"/>
    <mergeCell ref="H11:I11"/>
    <mergeCell ref="G12:I12"/>
    <mergeCell ref="A1:V1"/>
    <mergeCell ref="G2:K2"/>
    <mergeCell ref="M2:O2"/>
    <mergeCell ref="H8:I8"/>
    <mergeCell ref="Q2:V2"/>
    <mergeCell ref="H5:I5"/>
    <mergeCell ref="H6:I6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7F34C-01E9-40DB-A4F9-587CCD3DC5D9}">
  <sheetPr codeName="Sheet4"/>
  <dimension ref="A1:AO86"/>
  <sheetViews>
    <sheetView topLeftCell="A57" zoomScale="85" zoomScaleNormal="85" workbookViewId="0">
      <selection activeCell="C71" sqref="C71"/>
    </sheetView>
  </sheetViews>
  <sheetFormatPr defaultRowHeight="14" x14ac:dyDescent="0.3"/>
  <cols>
    <col min="1" max="1" width="10.6640625" customWidth="1"/>
    <col min="2" max="2" width="11.83203125" customWidth="1"/>
    <col min="3" max="3" width="13.4140625" customWidth="1"/>
    <col min="4" max="4" width="10.58203125" customWidth="1"/>
    <col min="6" max="6" width="12" hidden="1" customWidth="1"/>
    <col min="7" max="7" width="9.83203125" hidden="1" customWidth="1"/>
    <col min="9" max="9" width="15" customWidth="1"/>
    <col min="12" max="12" width="10.5" hidden="1" customWidth="1"/>
    <col min="13" max="13" width="0" hidden="1" customWidth="1"/>
    <col min="15" max="15" width="22.1640625" customWidth="1"/>
    <col min="16" max="16" width="10.83203125" customWidth="1"/>
    <col min="17" max="17" width="11.58203125" customWidth="1"/>
    <col min="18" max="18" width="10.33203125" customWidth="1"/>
    <col min="19" max="19" width="11.75" customWidth="1"/>
    <col min="20" max="20" width="16.4140625" customWidth="1"/>
    <col min="22" max="22" width="22.1640625" customWidth="1"/>
    <col min="23" max="23" width="12.58203125" customWidth="1"/>
    <col min="24" max="24" width="11" customWidth="1"/>
    <col min="25" max="25" width="10.9140625" customWidth="1"/>
    <col min="26" max="26" width="12.75" customWidth="1"/>
    <col min="27" max="27" width="15.5" customWidth="1"/>
    <col min="29" max="29" width="22.25" customWidth="1"/>
    <col min="30" max="30" width="16.4140625" customWidth="1"/>
    <col min="31" max="31" width="14.25" customWidth="1"/>
    <col min="32" max="32" width="12.58203125" customWidth="1"/>
    <col min="33" max="33" width="14.1640625" customWidth="1"/>
    <col min="34" max="34" width="16.33203125" customWidth="1"/>
    <col min="35" max="35" width="21.83203125" customWidth="1"/>
    <col min="36" max="36" width="14.25" customWidth="1"/>
    <col min="37" max="37" width="13.1640625" customWidth="1"/>
    <col min="38" max="38" width="12.1640625" customWidth="1"/>
    <col min="39" max="39" width="13" customWidth="1"/>
    <col min="40" max="40" width="12.58203125" customWidth="1"/>
    <col min="41" max="42" width="11.58203125" customWidth="1"/>
  </cols>
  <sheetData>
    <row r="1" spans="1:41" ht="36.5" customHeight="1" thickBot="1" x14ac:dyDescent="0.35">
      <c r="A1" s="166" t="s">
        <v>133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8"/>
    </row>
    <row r="2" spans="1:41" ht="27.5" customHeight="1" thickBot="1" x14ac:dyDescent="0.35">
      <c r="O2" s="156" t="s">
        <v>98</v>
      </c>
      <c r="P2" s="157"/>
      <c r="Q2" s="157"/>
      <c r="R2" s="157"/>
      <c r="S2" s="157"/>
      <c r="T2" s="158"/>
      <c r="V2" s="156" t="s">
        <v>124</v>
      </c>
      <c r="W2" s="157"/>
      <c r="X2" s="157"/>
      <c r="Y2" s="157"/>
      <c r="Z2" s="157"/>
      <c r="AA2" s="158"/>
      <c r="AC2" s="156" t="s">
        <v>124</v>
      </c>
      <c r="AD2" s="157"/>
      <c r="AE2" s="157"/>
      <c r="AF2" s="157"/>
      <c r="AG2" s="157"/>
      <c r="AH2" s="158"/>
      <c r="AI2" s="159"/>
      <c r="AJ2" s="159"/>
      <c r="AK2" s="159"/>
      <c r="AL2" s="159"/>
      <c r="AM2" s="159"/>
      <c r="AN2" s="159"/>
      <c r="AO2" s="159"/>
    </row>
    <row r="3" spans="1:41" ht="20.5" x14ac:dyDescent="0.3">
      <c r="A3" s="54" t="s">
        <v>30</v>
      </c>
      <c r="B3" s="174" t="s">
        <v>31</v>
      </c>
      <c r="C3" s="175"/>
      <c r="D3" s="13" t="s">
        <v>32</v>
      </c>
      <c r="E3" s="13" t="s">
        <v>46</v>
      </c>
      <c r="F3" s="13" t="s">
        <v>90</v>
      </c>
      <c r="G3" s="55" t="s">
        <v>46</v>
      </c>
      <c r="I3" s="58" t="s">
        <v>99</v>
      </c>
      <c r="J3" s="13" t="s">
        <v>32</v>
      </c>
      <c r="K3" s="13" t="s">
        <v>46</v>
      </c>
      <c r="L3" s="13" t="s">
        <v>90</v>
      </c>
      <c r="M3" s="55" t="s">
        <v>46</v>
      </c>
      <c r="O3" s="13" t="s">
        <v>97</v>
      </c>
      <c r="P3" s="13" t="s">
        <v>107</v>
      </c>
      <c r="Q3" s="13" t="s">
        <v>108</v>
      </c>
      <c r="R3" s="13" t="s">
        <v>112</v>
      </c>
      <c r="S3" s="13" t="s">
        <v>113</v>
      </c>
      <c r="T3" s="13" t="s">
        <v>115</v>
      </c>
      <c r="V3" s="13" t="s">
        <v>97</v>
      </c>
      <c r="W3" s="13" t="s">
        <v>107</v>
      </c>
      <c r="X3" s="13" t="s">
        <v>108</v>
      </c>
      <c r="Y3" s="13" t="s">
        <v>112</v>
      </c>
      <c r="Z3" s="13" t="s">
        <v>113</v>
      </c>
      <c r="AA3" s="13" t="s">
        <v>115</v>
      </c>
      <c r="AC3" s="13" t="s">
        <v>97</v>
      </c>
      <c r="AD3" s="13" t="s">
        <v>107</v>
      </c>
      <c r="AE3" s="13" t="s">
        <v>108</v>
      </c>
      <c r="AF3" s="13" t="s">
        <v>112</v>
      </c>
      <c r="AG3" s="13" t="s">
        <v>113</v>
      </c>
      <c r="AH3" s="13" t="s">
        <v>115</v>
      </c>
      <c r="AI3" s="13" t="s">
        <v>126</v>
      </c>
      <c r="AJ3" s="13" t="s">
        <v>127</v>
      </c>
      <c r="AK3" s="13" t="s">
        <v>128</v>
      </c>
      <c r="AL3" s="13" t="s">
        <v>129</v>
      </c>
      <c r="AM3" s="13" t="s">
        <v>132</v>
      </c>
      <c r="AN3" s="13" t="s">
        <v>130</v>
      </c>
      <c r="AO3" s="13" t="s">
        <v>131</v>
      </c>
    </row>
    <row r="4" spans="1:41" x14ac:dyDescent="0.3">
      <c r="A4" s="23">
        <v>1</v>
      </c>
      <c r="B4" s="169" t="s">
        <v>79</v>
      </c>
      <c r="C4" s="170"/>
      <c r="D4" s="3">
        <v>2000</v>
      </c>
      <c r="E4" s="3" t="s">
        <v>5</v>
      </c>
      <c r="F4" s="20">
        <f>D4*'01_单位换算'!C2</f>
        <v>907.18399999999997</v>
      </c>
      <c r="G4" s="24" t="s">
        <v>70</v>
      </c>
      <c r="I4" s="57" t="s">
        <v>87</v>
      </c>
      <c r="J4" s="57">
        <f>1.78*(1-0.045*D20^0.68)-0.64</f>
        <v>0.7831239342794879</v>
      </c>
      <c r="K4" s="57" t="s">
        <v>47</v>
      </c>
      <c r="L4" s="57" t="s">
        <v>47</v>
      </c>
      <c r="M4" s="57" t="s">
        <v>47</v>
      </c>
      <c r="O4" s="6">
        <v>5</v>
      </c>
      <c r="P4" s="61">
        <f t="shared" ref="P4:P15" si="0">$J$7*($D$19/O4+$J$5*($D$7/$J$7)^2*O4)</f>
        <v>0.31465024843902079</v>
      </c>
      <c r="Q4" s="61">
        <f t="shared" ref="Q4:Q15" si="1">$J$9/$J$10+$J$8/O4*$D$19+$J$5/$J$8*O4</f>
        <v>0.30395457024110117</v>
      </c>
      <c r="R4" s="61">
        <f>$J$11^2/(2*32.174*$D$12)+$J$12*$D$15/O4+$D$13*(1-$J$12*$D$14/O4)</f>
        <v>0.27640442212900118</v>
      </c>
      <c r="S4" s="61">
        <f>$J$7*$D$19/O4+$J$5/$J$7*O4</f>
        <v>0.30334361816985883</v>
      </c>
      <c r="T4" s="61">
        <f>1.667/(2*O4/$J$13*($J$5/(3*$D$19))^0.5)^0.5+4*($J$5*$D$19/3)^0.5</f>
        <v>9.8899923597422987E-2</v>
      </c>
      <c r="V4" s="6">
        <v>5</v>
      </c>
      <c r="W4" s="61">
        <f>P4*$D$4*$D$6*1.688/(0.8*550)</f>
        <v>362.13383138527297</v>
      </c>
      <c r="X4" s="61">
        <f>Q4*$D$4*$D$9*1.688/(0.8*550)</f>
        <v>186.57284166071958</v>
      </c>
      <c r="Y4" s="61">
        <f>R4*$D$4*$D$11*1.688/(0.8*550)</f>
        <v>137.85042361815459</v>
      </c>
      <c r="Z4" s="61">
        <f>S4*$D$4*$D$17*1.688/(0.8*550)</f>
        <v>349.12092782094658</v>
      </c>
      <c r="AA4" s="61">
        <f>T4*$D$4*(2/$J$13*V4*($J$5/(3*$D$19))^0.5)^0.5/(0.8*550)</f>
        <v>35.181715491688507</v>
      </c>
      <c r="AC4" s="6">
        <v>5</v>
      </c>
      <c r="AD4" s="61">
        <f>W4/(1.132*$J$6/$J$14-0.132)</f>
        <v>477.90110317132252</v>
      </c>
      <c r="AE4" s="61">
        <f>X4</f>
        <v>186.57284166071958</v>
      </c>
      <c r="AF4" s="61">
        <f>Y4</f>
        <v>137.85042361815459</v>
      </c>
      <c r="AG4" s="61">
        <f>Z4/(1.132*$J$6/$J$14-0.132)</f>
        <v>460.72822278877311</v>
      </c>
      <c r="AH4" s="61">
        <f>AA4/(1.132*$J$13/$J$14-0.132)</f>
        <v>74.676474308970128</v>
      </c>
      <c r="AI4" s="61">
        <f>1/(0.5*$J$14*(45*1.688)^2)*AC4</f>
        <v>0.72881656935126538</v>
      </c>
      <c r="AJ4" s="61">
        <f>1/(0.5*$J$14*(50*1.688)^2)*AC4</f>
        <v>0.59034142117452493</v>
      </c>
      <c r="AK4" s="61">
        <f>1/(0.5*$J$14*(55*1.688)^2)*AC4</f>
        <v>0.48788547204506183</v>
      </c>
      <c r="AL4" s="61">
        <f>1/(0.5*$J$14*(60*1.688)^2)*AC4</f>
        <v>0.40995932026008663</v>
      </c>
      <c r="AM4" s="61">
        <f>1/(0.5*$J$14*(61*1.688)^2)*AC4</f>
        <v>0.39662820557277934</v>
      </c>
      <c r="AN4" s="61">
        <f>1/(0.5*$J$14*(65*1.688)^2)*AC4</f>
        <v>0.34931445039912712</v>
      </c>
      <c r="AO4" s="61">
        <f>1/(0.5*$J$14*(70*1.688)^2)*AC4</f>
        <v>0.3011946026400637</v>
      </c>
    </row>
    <row r="5" spans="1:41" x14ac:dyDescent="0.3">
      <c r="A5" s="23">
        <v>2</v>
      </c>
      <c r="B5" s="171" t="s">
        <v>107</v>
      </c>
      <c r="C5" s="1" t="s">
        <v>76</v>
      </c>
      <c r="D5" s="3">
        <v>8000</v>
      </c>
      <c r="E5" s="3" t="s">
        <v>73</v>
      </c>
      <c r="F5" s="56">
        <f>0.3048*D5</f>
        <v>2438.4</v>
      </c>
      <c r="G5" s="56" t="s">
        <v>72</v>
      </c>
      <c r="I5" s="57" t="s">
        <v>89</v>
      </c>
      <c r="J5" s="57">
        <f>1/(PI()*D20*J4)</f>
        <v>4.5162411188559015E-2</v>
      </c>
      <c r="K5" s="57" t="s">
        <v>47</v>
      </c>
      <c r="L5" s="57" t="s">
        <v>47</v>
      </c>
      <c r="M5" s="57" t="s">
        <v>47</v>
      </c>
      <c r="O5" s="6">
        <v>10</v>
      </c>
      <c r="P5" s="61">
        <f t="shared" si="0"/>
        <v>0.17993838475783433</v>
      </c>
      <c r="Q5" s="61">
        <f t="shared" si="1"/>
        <v>0.2601889224176277</v>
      </c>
      <c r="R5" s="61">
        <f t="shared" ref="R5:R15" si="2">$J$11^2/(2*32.174*$D$12)+$J$12*$D$15/O5+$D$13*(1-$J$12*$D$14/O5)</f>
        <v>0.26209636910951967</v>
      </c>
      <c r="S5" s="61">
        <f t="shared" ref="S5:S15" si="3">$J$7*$D$19/O5+$J$5/$J$7*O5</f>
        <v>0.15732512421951039</v>
      </c>
      <c r="T5" s="61">
        <f t="shared" ref="T5:T15" si="4">1.667/(2*O5/$J$13*($J$5/(3*$D$19))^0.5)^0.5+4*($J$5*$D$19/3)^0.5</f>
        <v>9.2661121927782836E-2</v>
      </c>
      <c r="V5" s="6">
        <v>10</v>
      </c>
      <c r="W5" s="61">
        <f>P5*$D$4*$D$6*1.688/(0.8*550)</f>
        <v>207.09272282128933</v>
      </c>
      <c r="X5" s="61">
        <f t="shared" ref="X5:X15" si="5">Q5*$D$4*$D$9*1.688/(0.8*550)</f>
        <v>159.70869128762021</v>
      </c>
      <c r="Y5" s="61">
        <f t="shared" ref="Y5:Y15" si="6">R5*$D$4*$D$11*1.688/(0.8*550)</f>
        <v>130.71460735771137</v>
      </c>
      <c r="Z5" s="61">
        <f t="shared" ref="Z5:Z15" si="7">S5*$D$4*$D$17*1.688/(0.8*550)</f>
        <v>181.06691569263648</v>
      </c>
      <c r="AA5" s="61">
        <f t="shared" ref="AA5:AA15" si="8">T5*$D$4*(2/$J$13*V5*($J$5/(3*$D$19))^0.5)^0.5/(0.8*550)</f>
        <v>46.61585006646137</v>
      </c>
      <c r="AC5" s="6">
        <v>10</v>
      </c>
      <c r="AD5" s="61">
        <f t="shared" ref="AD5:AD15" si="9">W5/(1.132*$J$6/$J$14-0.132)</f>
        <v>273.29631235076022</v>
      </c>
      <c r="AE5" s="61">
        <f t="shared" ref="AE5:AE15" si="10">X5</f>
        <v>159.70869128762021</v>
      </c>
      <c r="AF5" s="61">
        <f t="shared" ref="AF5:AF15" si="11">Y5</f>
        <v>130.71460735771137</v>
      </c>
      <c r="AG5" s="61">
        <f t="shared" ref="AG5:AG15" si="12">Z5/(1.132*$J$6/$J$14-0.132)</f>
        <v>238.95055158566126</v>
      </c>
      <c r="AH5" s="61">
        <f t="shared" ref="AH5:AH15" si="13">AA5/(1.132*$J$13/$J$14-0.132)</f>
        <v>98.946491983919856</v>
      </c>
      <c r="AI5" s="61">
        <f t="shared" ref="AI5:AI15" si="14">1/(0.5*$J$14*(45*1.688)^2)*AC5</f>
        <v>1.4576331387025308</v>
      </c>
      <c r="AJ5" s="61">
        <f t="shared" ref="AJ5:AJ15" si="15">1/(0.5*$J$14*(50*1.688)^2)*AC5</f>
        <v>1.1806828423490499</v>
      </c>
      <c r="AK5" s="61">
        <f t="shared" ref="AK5:AK15" si="16">1/(0.5*$J$14*(55*1.688)^2)*AC5</f>
        <v>0.97577094409012366</v>
      </c>
      <c r="AL5" s="61">
        <f t="shared" ref="AL5:AL15" si="17">1/(0.5*$J$14*(60*1.688)^2)*AC5</f>
        <v>0.81991864052017327</v>
      </c>
      <c r="AM5" s="61">
        <f t="shared" ref="AM5:AM15" si="18">1/(0.5*$J$14*(61*1.688)^2)*AC5</f>
        <v>0.79325641114555867</v>
      </c>
      <c r="AN5" s="61">
        <f t="shared" ref="AN5:AN15" si="19">1/(0.5*$J$14*(65*1.688)^2)*AC5</f>
        <v>0.69862890079825424</v>
      </c>
      <c r="AO5" s="61">
        <f t="shared" ref="AO5:AO15" si="20">1/(0.5*$J$14*(70*1.688)^2)*AC5</f>
        <v>0.6023892052801274</v>
      </c>
    </row>
    <row r="6" spans="1:41" ht="16.5" x14ac:dyDescent="0.3">
      <c r="A6" s="23">
        <v>3</v>
      </c>
      <c r="B6" s="172"/>
      <c r="C6" s="1" t="s">
        <v>80</v>
      </c>
      <c r="D6" s="3">
        <v>150</v>
      </c>
      <c r="E6" s="3" t="s">
        <v>81</v>
      </c>
      <c r="F6" s="56">
        <f>0.5144*D6</f>
        <v>77.16</v>
      </c>
      <c r="G6" s="56" t="s">
        <v>7</v>
      </c>
      <c r="I6" s="57" t="s">
        <v>101</v>
      </c>
      <c r="J6" s="57">
        <f>0.002378*(1-0.0000068756*D5)^4.2561</f>
        <v>1.8691225702070155E-3</v>
      </c>
      <c r="K6" s="57" t="s">
        <v>91</v>
      </c>
      <c r="L6" s="57">
        <f>J6*14.594/0.3048^3</f>
        <v>0.96331258853193347</v>
      </c>
      <c r="M6" s="57" t="s">
        <v>94</v>
      </c>
      <c r="O6" s="6">
        <v>15</v>
      </c>
      <c r="P6" s="61">
        <f t="shared" si="0"/>
        <v>0.14508476821447169</v>
      </c>
      <c r="Q6" s="61">
        <f t="shared" si="1"/>
        <v>0.25254616979126721</v>
      </c>
      <c r="R6" s="61">
        <f t="shared" si="2"/>
        <v>0.25732701810302583</v>
      </c>
      <c r="S6" s="61">
        <f t="shared" si="3"/>
        <v>0.1111648774069858</v>
      </c>
      <c r="T6" s="61">
        <f t="shared" si="4"/>
        <v>8.9897230203103903E-2</v>
      </c>
      <c r="V6" s="6">
        <v>15</v>
      </c>
      <c r="W6" s="61">
        <f t="shared" ref="W6:W15" si="21">P6*$D$4*$D$6*1.688/(0.8*550)</f>
        <v>166.97937869047379</v>
      </c>
      <c r="X6" s="61">
        <f t="shared" si="5"/>
        <v>155.01743076642148</v>
      </c>
      <c r="Y6" s="61">
        <f t="shared" si="6"/>
        <v>128.33600193756362</v>
      </c>
      <c r="Z6" s="61">
        <f t="shared" si="7"/>
        <v>127.94066799749454</v>
      </c>
      <c r="AA6" s="61">
        <f t="shared" si="8"/>
        <v>55.389570109867933</v>
      </c>
      <c r="AC6" s="6">
        <v>15</v>
      </c>
      <c r="AD6" s="61">
        <f t="shared" si="9"/>
        <v>220.35949797283894</v>
      </c>
      <c r="AE6" s="61">
        <f t="shared" si="10"/>
        <v>155.01743076642148</v>
      </c>
      <c r="AF6" s="61">
        <f t="shared" si="11"/>
        <v>128.33600193756362</v>
      </c>
      <c r="AG6" s="61">
        <f t="shared" si="12"/>
        <v>168.84085682519054</v>
      </c>
      <c r="AH6" s="61">
        <f t="shared" si="13"/>
        <v>117.5695315446352</v>
      </c>
      <c r="AI6" s="61">
        <f t="shared" si="14"/>
        <v>2.1864497080537961</v>
      </c>
      <c r="AJ6" s="61">
        <f t="shared" si="15"/>
        <v>1.7710242635235747</v>
      </c>
      <c r="AK6" s="61">
        <f t="shared" si="16"/>
        <v>1.4636564161351855</v>
      </c>
      <c r="AL6" s="61">
        <f t="shared" si="17"/>
        <v>1.2298779607802599</v>
      </c>
      <c r="AM6" s="61">
        <f t="shared" si="18"/>
        <v>1.1898846167183379</v>
      </c>
      <c r="AN6" s="61">
        <f t="shared" si="19"/>
        <v>1.0479433511973812</v>
      </c>
      <c r="AO6" s="61">
        <f t="shared" si="20"/>
        <v>0.90358380792019122</v>
      </c>
    </row>
    <row r="7" spans="1:41" ht="16.5" x14ac:dyDescent="0.3">
      <c r="A7" s="23">
        <v>4</v>
      </c>
      <c r="B7" s="173"/>
      <c r="C7" s="1" t="s">
        <v>77</v>
      </c>
      <c r="D7" s="3">
        <v>2</v>
      </c>
      <c r="E7" s="3" t="s">
        <v>47</v>
      </c>
      <c r="F7" s="3" t="s">
        <v>47</v>
      </c>
      <c r="G7" s="24" t="s">
        <v>47</v>
      </c>
      <c r="I7" s="57" t="s">
        <v>122</v>
      </c>
      <c r="J7" s="57">
        <f>0.5*J6*(1.688*D6)^2</f>
        <v>59.914948282694297</v>
      </c>
      <c r="K7" s="57" t="s">
        <v>95</v>
      </c>
      <c r="L7" s="57">
        <f>J7*'01_单位换算'!S2</f>
        <v>8.8481344905447934E-6</v>
      </c>
      <c r="M7" s="57" t="s">
        <v>96</v>
      </c>
      <c r="O7" s="6">
        <v>20</v>
      </c>
      <c r="P7" s="61">
        <f t="shared" si="0"/>
        <v>0.13519571345556505</v>
      </c>
      <c r="Q7" s="61">
        <f t="shared" si="1"/>
        <v>0.25393414096418498</v>
      </c>
      <c r="R7" s="61">
        <f t="shared" si="2"/>
        <v>0.25494234259977894</v>
      </c>
      <c r="S7" s="61">
        <f t="shared" si="3"/>
        <v>8.9969192378917165E-2</v>
      </c>
      <c r="T7" s="61">
        <f t="shared" si="4"/>
        <v>8.8249622960702337E-2</v>
      </c>
      <c r="V7" s="6">
        <v>20</v>
      </c>
      <c r="W7" s="61">
        <f t="shared" si="21"/>
        <v>155.59797566795032</v>
      </c>
      <c r="X7" s="61">
        <f t="shared" si="5"/>
        <v>155.86939270819792</v>
      </c>
      <c r="Y7" s="61">
        <f t="shared" si="6"/>
        <v>127.14669922748975</v>
      </c>
      <c r="Z7" s="61">
        <f t="shared" si="7"/>
        <v>103.54636141064466</v>
      </c>
      <c r="AA7" s="61">
        <f t="shared" si="8"/>
        <v>62.786158256104287</v>
      </c>
      <c r="AC7" s="6">
        <v>20</v>
      </c>
      <c r="AD7" s="61">
        <f>W7/(1.132*$J$6/$J$14-0.132)</f>
        <v>205.33967770557794</v>
      </c>
      <c r="AE7" s="61">
        <f t="shared" si="10"/>
        <v>155.86939270819792</v>
      </c>
      <c r="AF7" s="61">
        <f t="shared" si="11"/>
        <v>127.14669922748975</v>
      </c>
      <c r="AG7" s="61">
        <f t="shared" si="12"/>
        <v>136.64815617538011</v>
      </c>
      <c r="AH7" s="61">
        <f t="shared" si="13"/>
        <v>133.26948013886852</v>
      </c>
      <c r="AI7" s="61">
        <f t="shared" si="14"/>
        <v>2.9152662774050615</v>
      </c>
      <c r="AJ7" s="61">
        <f t="shared" si="15"/>
        <v>2.3613656846980997</v>
      </c>
      <c r="AK7" s="61">
        <f t="shared" si="16"/>
        <v>1.9515418881802473</v>
      </c>
      <c r="AL7" s="61">
        <f t="shared" si="17"/>
        <v>1.6398372810403465</v>
      </c>
      <c r="AM7" s="61">
        <f t="shared" si="18"/>
        <v>1.5865128222911173</v>
      </c>
      <c r="AN7" s="61">
        <f t="shared" si="19"/>
        <v>1.3972578015965085</v>
      </c>
      <c r="AO7" s="61">
        <f t="shared" si="20"/>
        <v>1.2047784105602548</v>
      </c>
    </row>
    <row r="8" spans="1:41" ht="16.5" x14ac:dyDescent="0.3">
      <c r="A8" s="23">
        <v>5</v>
      </c>
      <c r="B8" s="171" t="s">
        <v>108</v>
      </c>
      <c r="C8" s="1" t="s">
        <v>76</v>
      </c>
      <c r="D8" s="3">
        <v>0</v>
      </c>
      <c r="E8" s="3" t="s">
        <v>73</v>
      </c>
      <c r="F8" s="56">
        <f>0.3048*D8</f>
        <v>0</v>
      </c>
      <c r="G8" s="56" t="s">
        <v>72</v>
      </c>
      <c r="I8" s="57" t="s">
        <v>109</v>
      </c>
      <c r="J8" s="57">
        <f>0.5*0.002378*(D9*'01_单位换算'!G8)^2</f>
        <v>21.673737118267805</v>
      </c>
      <c r="K8" s="57" t="s">
        <v>95</v>
      </c>
      <c r="L8" s="57"/>
      <c r="M8" s="57"/>
      <c r="O8" s="6">
        <v>25</v>
      </c>
      <c r="P8" s="61">
        <f t="shared" si="0"/>
        <v>0.13529248341044076</v>
      </c>
      <c r="Q8" s="61">
        <f t="shared" si="1"/>
        <v>0.25893440165681403</v>
      </c>
      <c r="R8" s="61">
        <f t="shared" si="2"/>
        <v>0.25351153729783077</v>
      </c>
      <c r="S8" s="61">
        <f t="shared" si="3"/>
        <v>7.8759332064630913E-2</v>
      </c>
      <c r="T8" s="61">
        <f t="shared" si="4"/>
        <v>8.7125240805788345E-2</v>
      </c>
      <c r="V8" s="6">
        <v>25</v>
      </c>
      <c r="W8" s="61">
        <f t="shared" si="21"/>
        <v>155.70934908874364</v>
      </c>
      <c r="X8" s="61">
        <f t="shared" si="5"/>
        <v>158.9386436351644</v>
      </c>
      <c r="Y8" s="61">
        <f t="shared" si="6"/>
        <v>126.4331176014454</v>
      </c>
      <c r="Z8" s="61">
        <f t="shared" si="7"/>
        <v>90.64483126711157</v>
      </c>
      <c r="AA8" s="61">
        <f t="shared" si="8"/>
        <v>69.302683229508631</v>
      </c>
      <c r="AC8" s="6">
        <v>25</v>
      </c>
      <c r="AD8" s="61">
        <f t="shared" si="9"/>
        <v>205.48665508258105</v>
      </c>
      <c r="AE8" s="61">
        <f t="shared" si="10"/>
        <v>158.9386436351644</v>
      </c>
      <c r="AF8" s="61">
        <f t="shared" si="11"/>
        <v>126.4331176014454</v>
      </c>
      <c r="AG8" s="61">
        <f t="shared" si="12"/>
        <v>119.62225316983374</v>
      </c>
      <c r="AH8" s="61">
        <f t="shared" si="13"/>
        <v>147.10141252076605</v>
      </c>
      <c r="AI8" s="61">
        <f t="shared" si="14"/>
        <v>3.6440828467563269</v>
      </c>
      <c r="AJ8" s="61">
        <f t="shared" si="15"/>
        <v>2.9517071058726243</v>
      </c>
      <c r="AK8" s="61">
        <f t="shared" si="16"/>
        <v>2.4394273602253094</v>
      </c>
      <c r="AL8" s="61">
        <f t="shared" si="17"/>
        <v>2.0497966013004332</v>
      </c>
      <c r="AM8" s="61">
        <f t="shared" si="18"/>
        <v>1.9831410278638968</v>
      </c>
      <c r="AN8" s="61">
        <f t="shared" si="19"/>
        <v>1.7465722519956355</v>
      </c>
      <c r="AO8" s="61">
        <f t="shared" si="20"/>
        <v>1.5059730132003186</v>
      </c>
    </row>
    <row r="9" spans="1:41" x14ac:dyDescent="0.3">
      <c r="A9" s="23">
        <v>6</v>
      </c>
      <c r="B9" s="172"/>
      <c r="C9" s="1" t="s">
        <v>80</v>
      </c>
      <c r="D9" s="3">
        <v>80</v>
      </c>
      <c r="E9" s="3" t="s">
        <v>81</v>
      </c>
      <c r="F9" s="56">
        <f>0.5144*D9</f>
        <v>41.152000000000001</v>
      </c>
      <c r="G9" s="56" t="s">
        <v>7</v>
      </c>
      <c r="I9" s="57" t="s">
        <v>110</v>
      </c>
      <c r="J9" s="57">
        <f>D10/60</f>
        <v>25</v>
      </c>
      <c r="K9" s="57" t="s">
        <v>106</v>
      </c>
      <c r="L9" s="57"/>
      <c r="M9" s="57"/>
      <c r="O9" s="6">
        <v>30</v>
      </c>
      <c r="P9" s="61">
        <f t="shared" si="0"/>
        <v>0.14038216572220769</v>
      </c>
      <c r="Q9" s="61">
        <f t="shared" si="1"/>
        <v>0.26574080710929876</v>
      </c>
      <c r="R9" s="61">
        <f t="shared" si="2"/>
        <v>0.25255766709653205</v>
      </c>
      <c r="S9" s="61">
        <f t="shared" si="3"/>
        <v>7.2542384107235847E-2</v>
      </c>
      <c r="T9" s="61">
        <f t="shared" si="4"/>
        <v>8.6295256379716481E-2</v>
      </c>
      <c r="V9" s="6">
        <v>30</v>
      </c>
      <c r="W9" s="61">
        <f t="shared" si="21"/>
        <v>161.56711073119536</v>
      </c>
      <c r="X9" s="61">
        <f t="shared" si="5"/>
        <v>163.11653905472591</v>
      </c>
      <c r="Y9" s="61">
        <f t="shared" si="6"/>
        <v>125.95739651741587</v>
      </c>
      <c r="Z9" s="61">
        <f t="shared" si="7"/>
        <v>83.489689345236897</v>
      </c>
      <c r="AA9" s="61">
        <f t="shared" si="8"/>
        <v>75.194072133954492</v>
      </c>
      <c r="AC9" s="6">
        <v>30</v>
      </c>
      <c r="AD9" s="61">
        <f t="shared" si="9"/>
        <v>213.2170312817162</v>
      </c>
      <c r="AE9" s="61">
        <f t="shared" si="10"/>
        <v>163.11653905472591</v>
      </c>
      <c r="AF9" s="61">
        <f t="shared" si="11"/>
        <v>125.95739651741587</v>
      </c>
      <c r="AG9" s="61">
        <f t="shared" si="12"/>
        <v>110.17974898641947</v>
      </c>
      <c r="AH9" s="61">
        <f t="shared" si="13"/>
        <v>159.60643525824281</v>
      </c>
      <c r="AI9" s="61">
        <f t="shared" si="14"/>
        <v>4.3728994161075923</v>
      </c>
      <c r="AJ9" s="61">
        <f t="shared" si="15"/>
        <v>3.5420485270471493</v>
      </c>
      <c r="AK9" s="61">
        <f t="shared" si="16"/>
        <v>2.927312832270371</v>
      </c>
      <c r="AL9" s="61">
        <f t="shared" si="17"/>
        <v>2.4597559215605198</v>
      </c>
      <c r="AM9" s="61">
        <f t="shared" si="18"/>
        <v>2.3797692334366758</v>
      </c>
      <c r="AN9" s="61">
        <f t="shared" si="19"/>
        <v>2.0958867023947625</v>
      </c>
      <c r="AO9" s="61">
        <f t="shared" si="20"/>
        <v>1.8071676158403824</v>
      </c>
    </row>
    <row r="10" spans="1:41" x14ac:dyDescent="0.3">
      <c r="A10" s="25">
        <v>7</v>
      </c>
      <c r="B10" s="173"/>
      <c r="C10" s="12" t="s">
        <v>78</v>
      </c>
      <c r="D10" s="3">
        <v>1500</v>
      </c>
      <c r="E10" s="3" t="s">
        <v>74</v>
      </c>
      <c r="F10" s="3">
        <f>0.00508*D10</f>
        <v>7.62</v>
      </c>
      <c r="G10" s="24" t="s">
        <v>84</v>
      </c>
      <c r="I10" s="57" t="s">
        <v>111</v>
      </c>
      <c r="J10" s="57">
        <f>D9*'01_单位换算'!G8</f>
        <v>135.01312000000001</v>
      </c>
      <c r="K10" s="57" t="s">
        <v>106</v>
      </c>
      <c r="L10" s="57"/>
      <c r="M10" s="57"/>
      <c r="O10" s="6">
        <v>35</v>
      </c>
      <c r="P10" s="61">
        <f t="shared" si="0"/>
        <v>0.14832494080934097</v>
      </c>
      <c r="Q10" s="61">
        <f t="shared" si="1"/>
        <v>0.273579295281701</v>
      </c>
      <c r="R10" s="61">
        <f t="shared" si="2"/>
        <v>0.25187633123846148</v>
      </c>
      <c r="S10" s="61">
        <f t="shared" si="3"/>
        <v>6.9178528925207192E-2</v>
      </c>
      <c r="T10" s="61">
        <f t="shared" si="4"/>
        <v>8.5650192859077601E-2</v>
      </c>
      <c r="V10" s="6">
        <v>35</v>
      </c>
      <c r="W10" s="61">
        <f t="shared" si="21"/>
        <v>170.70852278602331</v>
      </c>
      <c r="X10" s="61">
        <f t="shared" si="5"/>
        <v>167.92794561291319</v>
      </c>
      <c r="Y10" s="61">
        <f t="shared" si="6"/>
        <v>125.61759574310906</v>
      </c>
      <c r="Z10" s="61">
        <f t="shared" si="7"/>
        <v>79.618197835738442</v>
      </c>
      <c r="AA10" s="61">
        <f t="shared" si="8"/>
        <v>80.611763362433237</v>
      </c>
      <c r="AC10" s="6">
        <v>35</v>
      </c>
      <c r="AD10" s="61">
        <f t="shared" si="9"/>
        <v>225.28077823635536</v>
      </c>
      <c r="AE10" s="61">
        <f t="shared" si="10"/>
        <v>167.92794561291319</v>
      </c>
      <c r="AF10" s="61">
        <f t="shared" si="11"/>
        <v>125.61759574310906</v>
      </c>
      <c r="AG10" s="61">
        <f t="shared" si="12"/>
        <v>105.07061555850919</v>
      </c>
      <c r="AH10" s="61">
        <f t="shared" si="13"/>
        <v>171.10599047274064</v>
      </c>
      <c r="AI10" s="61">
        <f t="shared" si="14"/>
        <v>5.1017159854588572</v>
      </c>
      <c r="AJ10" s="61">
        <f t="shared" si="15"/>
        <v>4.1323899482216744</v>
      </c>
      <c r="AK10" s="61">
        <f t="shared" si="16"/>
        <v>3.415198304315433</v>
      </c>
      <c r="AL10" s="61">
        <f t="shared" si="17"/>
        <v>2.8697152418206064</v>
      </c>
      <c r="AM10" s="61">
        <f t="shared" si="18"/>
        <v>2.7763974390094552</v>
      </c>
      <c r="AN10" s="61">
        <f t="shared" si="19"/>
        <v>2.4452011527938899</v>
      </c>
      <c r="AO10" s="61">
        <f t="shared" si="20"/>
        <v>2.1083622184804462</v>
      </c>
    </row>
    <row r="11" spans="1:41" x14ac:dyDescent="0.3">
      <c r="A11" s="25">
        <v>8</v>
      </c>
      <c r="B11" s="171" t="s">
        <v>112</v>
      </c>
      <c r="C11" s="1" t="s">
        <v>85</v>
      </c>
      <c r="D11" s="3">
        <v>65</v>
      </c>
      <c r="E11" s="3" t="s">
        <v>81</v>
      </c>
      <c r="F11" s="56">
        <f>0.5144*D11</f>
        <v>33.436</v>
      </c>
      <c r="G11" s="56" t="s">
        <v>7</v>
      </c>
      <c r="I11" s="57" t="s">
        <v>116</v>
      </c>
      <c r="J11" s="57">
        <f>D11*'01_单位换算'!G8</f>
        <v>109.69816</v>
      </c>
      <c r="K11" s="57" t="s">
        <v>106</v>
      </c>
      <c r="L11" s="57"/>
      <c r="M11" s="57"/>
      <c r="O11" s="6">
        <v>40</v>
      </c>
      <c r="P11" s="61">
        <f t="shared" si="0"/>
        <v>0.15805089888107829</v>
      </c>
      <c r="Q11" s="61">
        <f t="shared" si="1"/>
        <v>0.28206283515405167</v>
      </c>
      <c r="R11" s="61">
        <f t="shared" si="2"/>
        <v>0.25136532934490857</v>
      </c>
      <c r="S11" s="61">
        <f t="shared" si="3"/>
        <v>6.7597856727782513E-2</v>
      </c>
      <c r="T11" s="61">
        <f t="shared" si="4"/>
        <v>8.5130222125882268E-2</v>
      </c>
      <c r="V11" s="6">
        <v>40</v>
      </c>
      <c r="W11" s="61">
        <f t="shared" si="21"/>
        <v>181.90221634858648</v>
      </c>
      <c r="X11" s="61">
        <f t="shared" si="5"/>
        <v>173.13529663274156</v>
      </c>
      <c r="Y11" s="61">
        <f t="shared" si="6"/>
        <v>125.36274516237893</v>
      </c>
      <c r="Z11" s="61">
        <f t="shared" si="7"/>
        <v>77.798987833975147</v>
      </c>
      <c r="AA11" s="61">
        <f t="shared" si="8"/>
        <v>85.654427405650026</v>
      </c>
      <c r="AC11" s="6">
        <v>40</v>
      </c>
      <c r="AD11" s="61">
        <f t="shared" si="9"/>
        <v>240.05288191318468</v>
      </c>
      <c r="AE11" s="61">
        <f t="shared" si="10"/>
        <v>173.13529663274156</v>
      </c>
      <c r="AF11" s="61">
        <f t="shared" si="11"/>
        <v>125.36274516237893</v>
      </c>
      <c r="AG11" s="61">
        <f t="shared" si="12"/>
        <v>102.66983885278896</v>
      </c>
      <c r="AH11" s="61">
        <f t="shared" si="13"/>
        <v>181.80951548876803</v>
      </c>
      <c r="AI11" s="61">
        <f t="shared" si="14"/>
        <v>5.830532554810123</v>
      </c>
      <c r="AJ11" s="61">
        <f t="shared" si="15"/>
        <v>4.7227313693961994</v>
      </c>
      <c r="AK11" s="61">
        <f t="shared" si="16"/>
        <v>3.9030837763604946</v>
      </c>
      <c r="AL11" s="61">
        <f t="shared" si="17"/>
        <v>3.2796745620806931</v>
      </c>
      <c r="AM11" s="61">
        <f t="shared" si="18"/>
        <v>3.1730256445822347</v>
      </c>
      <c r="AN11" s="61">
        <f t="shared" si="19"/>
        <v>2.794515603193017</v>
      </c>
      <c r="AO11" s="61">
        <f t="shared" si="20"/>
        <v>2.4095568211205096</v>
      </c>
    </row>
    <row r="12" spans="1:41" ht="16.5" x14ac:dyDescent="0.4">
      <c r="A12" s="25">
        <v>9</v>
      </c>
      <c r="B12" s="172"/>
      <c r="C12" s="12" t="s">
        <v>121</v>
      </c>
      <c r="D12" s="3">
        <v>900</v>
      </c>
      <c r="E12" s="3" t="s">
        <v>73</v>
      </c>
      <c r="F12" s="56">
        <f>0.3048*D12</f>
        <v>274.32</v>
      </c>
      <c r="G12" s="56" t="s">
        <v>72</v>
      </c>
      <c r="I12" s="57" t="s">
        <v>117</v>
      </c>
      <c r="J12" s="57">
        <f>0.5*'00_大气属性'!B2*('03_初始参数确定'!J11/2^0.5)^2</f>
        <v>7.1540265097407394</v>
      </c>
      <c r="K12" s="57" t="s">
        <v>95</v>
      </c>
      <c r="L12" s="57"/>
      <c r="M12" s="57"/>
      <c r="O12" s="6">
        <v>45</v>
      </c>
      <c r="P12" s="61">
        <f t="shared" si="0"/>
        <v>0.16896564560921826</v>
      </c>
      <c r="Q12" s="61">
        <f t="shared" si="1"/>
        <v>0.29097640949303466</v>
      </c>
      <c r="R12" s="61">
        <f t="shared" si="2"/>
        <v>0.25096788342770071</v>
      </c>
      <c r="S12" s="61">
        <f t="shared" si="3"/>
        <v>6.7205973186760526E-2</v>
      </c>
      <c r="T12" s="61">
        <f t="shared" si="4"/>
        <v>8.4699522748462125E-2</v>
      </c>
      <c r="V12" s="6">
        <v>45</v>
      </c>
      <c r="W12" s="61">
        <f t="shared" si="21"/>
        <v>194.46409758297301</v>
      </c>
      <c r="X12" s="61">
        <f t="shared" si="5"/>
        <v>178.60661062699728</v>
      </c>
      <c r="Y12" s="61">
        <f t="shared" si="6"/>
        <v>125.16452804403326</v>
      </c>
      <c r="Z12" s="61">
        <f t="shared" si="7"/>
        <v>77.347965504035301</v>
      </c>
      <c r="AA12" s="61">
        <f t="shared" si="8"/>
        <v>90.39060102052008</v>
      </c>
      <c r="AC12" s="6">
        <v>45</v>
      </c>
      <c r="AD12" s="61">
        <f t="shared" si="9"/>
        <v>256.63055673814057</v>
      </c>
      <c r="AE12" s="61">
        <f t="shared" si="10"/>
        <v>178.60661062699728</v>
      </c>
      <c r="AF12" s="61">
        <f t="shared" si="11"/>
        <v>125.16452804403326</v>
      </c>
      <c r="AG12" s="61">
        <f t="shared" si="12"/>
        <v>102.07463329519543</v>
      </c>
      <c r="AH12" s="61">
        <f t="shared" si="13"/>
        <v>191.86248596876695</v>
      </c>
      <c r="AI12" s="61">
        <f t="shared" si="14"/>
        <v>6.5593491241613879</v>
      </c>
      <c r="AJ12" s="61">
        <f t="shared" si="15"/>
        <v>5.3130727905707245</v>
      </c>
      <c r="AK12" s="61">
        <f t="shared" si="16"/>
        <v>4.3909692484055567</v>
      </c>
      <c r="AL12" s="61">
        <f t="shared" si="17"/>
        <v>3.6896338823407802</v>
      </c>
      <c r="AM12" s="61">
        <f t="shared" si="18"/>
        <v>3.5696538501550141</v>
      </c>
      <c r="AN12" s="61">
        <f t="shared" si="19"/>
        <v>3.143830053592144</v>
      </c>
      <c r="AO12" s="61">
        <f t="shared" si="20"/>
        <v>2.7107514237605734</v>
      </c>
    </row>
    <row r="13" spans="1:41" ht="16.5" x14ac:dyDescent="0.3">
      <c r="A13" s="23">
        <v>10</v>
      </c>
      <c r="B13" s="172"/>
      <c r="C13" s="12" t="s">
        <v>118</v>
      </c>
      <c r="D13" s="3">
        <v>0.04</v>
      </c>
      <c r="E13" s="3" t="s">
        <v>47</v>
      </c>
      <c r="F13" s="56">
        <f>0.3048*D16</f>
        <v>2438.4</v>
      </c>
      <c r="G13" s="56" t="s">
        <v>72</v>
      </c>
      <c r="I13" s="57" t="s">
        <v>123</v>
      </c>
      <c r="J13" s="57">
        <f>0.002378*(1-0.0000068756*D18)^4.2561</f>
        <v>1.2669820284852995E-3</v>
      </c>
      <c r="K13" s="57" t="s">
        <v>91</v>
      </c>
      <c r="L13" s="57"/>
      <c r="M13" s="57"/>
      <c r="O13" s="6">
        <v>50</v>
      </c>
      <c r="P13" s="61">
        <f t="shared" si="0"/>
        <v>0.18071254439684009</v>
      </c>
      <c r="Q13" s="61">
        <f t="shared" si="1"/>
        <v>0.30019100795866027</v>
      </c>
      <c r="R13" s="61">
        <f t="shared" si="2"/>
        <v>0.25064992669393449</v>
      </c>
      <c r="S13" s="61">
        <f t="shared" si="3"/>
        <v>6.7646241705220378E-2</v>
      </c>
      <c r="T13" s="61">
        <f t="shared" si="4"/>
        <v>8.4335163879497438E-2</v>
      </c>
      <c r="V13" s="6">
        <v>50</v>
      </c>
      <c r="W13" s="61">
        <f t="shared" si="21"/>
        <v>207.98371018763598</v>
      </c>
      <c r="X13" s="61">
        <f t="shared" si="5"/>
        <v>184.26269870335219</v>
      </c>
      <c r="Y13" s="61">
        <f t="shared" si="6"/>
        <v>125.00595434935676</v>
      </c>
      <c r="Z13" s="61">
        <f t="shared" si="7"/>
        <v>77.854674544371818</v>
      </c>
      <c r="AA13" s="61">
        <f t="shared" si="8"/>
        <v>94.870185402581413</v>
      </c>
      <c r="AC13" s="6">
        <v>50</v>
      </c>
      <c r="AD13" s="61">
        <f t="shared" si="9"/>
        <v>274.47213136678516</v>
      </c>
      <c r="AE13" s="61">
        <f t="shared" si="10"/>
        <v>184.26269870335219</v>
      </c>
      <c r="AF13" s="61">
        <f t="shared" si="11"/>
        <v>125.00595434935676</v>
      </c>
      <c r="AG13" s="61">
        <f t="shared" si="12"/>
        <v>102.74332754129053</v>
      </c>
      <c r="AH13" s="61">
        <f t="shared" si="13"/>
        <v>201.37082185707504</v>
      </c>
      <c r="AI13" s="61">
        <f t="shared" si="14"/>
        <v>7.2881656935126538</v>
      </c>
      <c r="AJ13" s="61">
        <f t="shared" si="15"/>
        <v>5.9034142117452486</v>
      </c>
      <c r="AK13" s="61">
        <f t="shared" si="16"/>
        <v>4.8788547204506187</v>
      </c>
      <c r="AL13" s="61">
        <f t="shared" si="17"/>
        <v>4.0995932026008663</v>
      </c>
      <c r="AM13" s="61">
        <f t="shared" si="18"/>
        <v>3.9662820557277936</v>
      </c>
      <c r="AN13" s="61">
        <f t="shared" si="19"/>
        <v>3.493144503991271</v>
      </c>
      <c r="AO13" s="61">
        <f t="shared" si="20"/>
        <v>3.0119460264006372</v>
      </c>
    </row>
    <row r="14" spans="1:41" ht="16.5" x14ac:dyDescent="0.4">
      <c r="A14" s="23">
        <v>11</v>
      </c>
      <c r="B14" s="172"/>
      <c r="C14" s="12" t="s">
        <v>119</v>
      </c>
      <c r="D14" s="3">
        <v>0.5</v>
      </c>
      <c r="E14" s="3" t="s">
        <v>47</v>
      </c>
      <c r="F14" s="56">
        <f>0.5144*D17</f>
        <v>77.16</v>
      </c>
      <c r="G14" s="56" t="s">
        <v>7</v>
      </c>
      <c r="I14" s="57" t="s">
        <v>125</v>
      </c>
      <c r="J14" s="57">
        <f>'00_大气属性'!B2</f>
        <v>2.3779999999999999E-3</v>
      </c>
      <c r="K14" s="57" t="s">
        <v>91</v>
      </c>
      <c r="L14" s="57"/>
      <c r="M14" s="57"/>
      <c r="O14" s="6">
        <v>55</v>
      </c>
      <c r="P14" s="61">
        <f t="shared" si="0"/>
        <v>0.19306464468226689</v>
      </c>
      <c r="Q14" s="61">
        <f t="shared" si="1"/>
        <v>0.30962453306184412</v>
      </c>
      <c r="R14" s="61">
        <f t="shared" si="2"/>
        <v>0.25038978027539849</v>
      </c>
      <c r="S14" s="61">
        <f t="shared" si="3"/>
        <v>6.8691711721485235E-2</v>
      </c>
      <c r="T14" s="61">
        <f t="shared" si="4"/>
        <v>8.4021695254251794E-2</v>
      </c>
      <c r="V14" s="6">
        <v>55</v>
      </c>
      <c r="W14" s="61">
        <f t="shared" si="21"/>
        <v>222.19985469795446</v>
      </c>
      <c r="X14" s="61">
        <f t="shared" si="5"/>
        <v>190.05316793032472</v>
      </c>
      <c r="Y14" s="61">
        <f t="shared" si="6"/>
        <v>124.87621223553055</v>
      </c>
      <c r="Z14" s="61">
        <f t="shared" si="7"/>
        <v>79.057915490363911</v>
      </c>
      <c r="AA14" s="61">
        <f t="shared" si="8"/>
        <v>99.130851923680851</v>
      </c>
      <c r="AC14" s="6">
        <v>55</v>
      </c>
      <c r="AD14" s="61">
        <f t="shared" si="9"/>
        <v>293.23290585265784</v>
      </c>
      <c r="AE14" s="61">
        <f t="shared" si="10"/>
        <v>190.05316793032472</v>
      </c>
      <c r="AF14" s="61">
        <f t="shared" si="11"/>
        <v>124.87621223553055</v>
      </c>
      <c r="AG14" s="61">
        <f t="shared" si="12"/>
        <v>104.33122164461376</v>
      </c>
      <c r="AH14" s="61">
        <f t="shared" si="13"/>
        <v>210.41448415595124</v>
      </c>
      <c r="AI14" s="61">
        <f t="shared" si="14"/>
        <v>8.0169822628639196</v>
      </c>
      <c r="AJ14" s="61">
        <f t="shared" si="15"/>
        <v>6.4937556329197736</v>
      </c>
      <c r="AK14" s="61">
        <f t="shared" si="16"/>
        <v>5.3667401924956799</v>
      </c>
      <c r="AL14" s="61">
        <f t="shared" si="17"/>
        <v>4.509552522860953</v>
      </c>
      <c r="AM14" s="61">
        <f t="shared" si="18"/>
        <v>4.3629102613005726</v>
      </c>
      <c r="AN14" s="61">
        <f t="shared" si="19"/>
        <v>3.842458954390398</v>
      </c>
      <c r="AO14" s="61">
        <f t="shared" si="20"/>
        <v>3.3131406290407011</v>
      </c>
    </row>
    <row r="15" spans="1:41" ht="16" x14ac:dyDescent="0.4">
      <c r="A15" s="25">
        <v>12</v>
      </c>
      <c r="B15" s="173"/>
      <c r="C15" s="12" t="s">
        <v>120</v>
      </c>
      <c r="D15" s="3">
        <v>0.04</v>
      </c>
      <c r="E15" s="3" t="s">
        <v>47</v>
      </c>
      <c r="F15" s="56">
        <f>0.3048*D18</f>
        <v>6096</v>
      </c>
      <c r="G15" s="56" t="s">
        <v>72</v>
      </c>
      <c r="I15" s="57"/>
      <c r="J15" s="57"/>
      <c r="K15" s="57"/>
      <c r="L15" s="57"/>
      <c r="M15" s="57"/>
      <c r="O15" s="6">
        <v>60</v>
      </c>
      <c r="P15" s="61">
        <f t="shared" si="0"/>
        <v>0.20587064609104749</v>
      </c>
      <c r="Q15" s="61">
        <f t="shared" si="1"/>
        <v>0.31922225314319663</v>
      </c>
      <c r="R15" s="61">
        <f t="shared" si="2"/>
        <v>0.2501729915932851</v>
      </c>
      <c r="S15" s="61">
        <f t="shared" si="3"/>
        <v>7.0191082861103829E-2</v>
      </c>
      <c r="T15" s="61">
        <f t="shared" si="4"/>
        <v>8.3748276263542795E-2</v>
      </c>
      <c r="V15" s="6">
        <v>60</v>
      </c>
      <c r="W15" s="61">
        <f t="shared" si="21"/>
        <v>236.93839813751464</v>
      </c>
      <c r="X15" s="61">
        <f t="shared" si="5"/>
        <v>195.94442302026033</v>
      </c>
      <c r="Y15" s="61">
        <f t="shared" si="6"/>
        <v>124.768093807342</v>
      </c>
      <c r="Z15" s="61">
        <f t="shared" si="7"/>
        <v>80.783555365597664</v>
      </c>
      <c r="AA15" s="61">
        <f t="shared" si="8"/>
        <v>103.20186749246314</v>
      </c>
      <c r="AC15" s="6">
        <v>60</v>
      </c>
      <c r="AD15" s="61">
        <f t="shared" si="9"/>
        <v>312.68308023145164</v>
      </c>
      <c r="AE15" s="61">
        <f t="shared" si="10"/>
        <v>195.94442302026033</v>
      </c>
      <c r="AF15" s="61">
        <f t="shared" si="11"/>
        <v>124.768093807342</v>
      </c>
      <c r="AG15" s="61">
        <f t="shared" si="12"/>
        <v>106.60851564085807</v>
      </c>
      <c r="AH15" s="61">
        <f t="shared" si="13"/>
        <v>219.05559461019865</v>
      </c>
      <c r="AI15" s="61">
        <f t="shared" si="14"/>
        <v>8.7457988322151845</v>
      </c>
      <c r="AJ15" s="61">
        <f t="shared" si="15"/>
        <v>7.0840970540942987</v>
      </c>
      <c r="AK15" s="61">
        <f t="shared" si="16"/>
        <v>5.854625664540742</v>
      </c>
      <c r="AL15" s="61">
        <f t="shared" si="17"/>
        <v>4.9195118431210396</v>
      </c>
      <c r="AM15" s="61">
        <f t="shared" si="18"/>
        <v>4.7595384668733516</v>
      </c>
      <c r="AN15" s="61">
        <f t="shared" si="19"/>
        <v>4.191773404789525</v>
      </c>
      <c r="AO15" s="61">
        <f t="shared" si="20"/>
        <v>3.6143352316807649</v>
      </c>
    </row>
    <row r="16" spans="1:41" x14ac:dyDescent="0.3">
      <c r="A16" s="25">
        <v>13</v>
      </c>
      <c r="B16" s="171" t="s">
        <v>113</v>
      </c>
      <c r="C16" s="1" t="s">
        <v>76</v>
      </c>
      <c r="D16" s="3">
        <v>8000</v>
      </c>
      <c r="E16" s="3" t="s">
        <v>73</v>
      </c>
      <c r="F16" s="3" t="s">
        <v>47</v>
      </c>
      <c r="G16" s="24" t="s">
        <v>47</v>
      </c>
      <c r="I16" s="57"/>
      <c r="J16" s="57"/>
      <c r="K16" s="57"/>
      <c r="L16" s="57"/>
      <c r="M16" s="57"/>
    </row>
    <row r="17" spans="1:13" x14ac:dyDescent="0.3">
      <c r="A17" s="25">
        <v>14</v>
      </c>
      <c r="B17" s="173"/>
      <c r="C17" s="1" t="s">
        <v>82</v>
      </c>
      <c r="D17" s="3">
        <v>150</v>
      </c>
      <c r="E17" s="3" t="s">
        <v>81</v>
      </c>
      <c r="F17" s="3" t="s">
        <v>47</v>
      </c>
      <c r="G17" s="24" t="s">
        <v>47</v>
      </c>
      <c r="I17" s="57"/>
      <c r="J17" s="57"/>
      <c r="K17" s="57"/>
      <c r="L17" s="57"/>
      <c r="M17" s="57"/>
    </row>
    <row r="18" spans="1:13" ht="14.5" thickBot="1" x14ac:dyDescent="0.35">
      <c r="A18" s="23">
        <v>15</v>
      </c>
      <c r="B18" s="2" t="s">
        <v>114</v>
      </c>
      <c r="C18" s="60" t="s">
        <v>83</v>
      </c>
      <c r="D18" s="3">
        <v>20000</v>
      </c>
      <c r="E18" s="3" t="s">
        <v>73</v>
      </c>
      <c r="F18" s="28"/>
      <c r="G18" s="29"/>
      <c r="I18" s="57"/>
      <c r="J18" s="57"/>
      <c r="K18" s="57"/>
      <c r="L18" s="57"/>
      <c r="M18" s="57"/>
    </row>
    <row r="19" spans="1:13" ht="16" x14ac:dyDescent="0.4">
      <c r="A19" s="23">
        <v>16</v>
      </c>
      <c r="B19" s="169" t="s">
        <v>86</v>
      </c>
      <c r="C19" s="170"/>
      <c r="D19" s="3">
        <v>2.5000000000000001E-2</v>
      </c>
      <c r="E19" s="3" t="s">
        <v>47</v>
      </c>
    </row>
    <row r="20" spans="1:13" x14ac:dyDescent="0.3">
      <c r="A20" s="25">
        <v>17</v>
      </c>
      <c r="B20" s="169" t="s">
        <v>88</v>
      </c>
      <c r="C20" s="170"/>
      <c r="D20" s="3">
        <v>9</v>
      </c>
      <c r="E20" s="3" t="s">
        <v>47</v>
      </c>
    </row>
    <row r="21" spans="1:13" ht="14.5" thickBot="1" x14ac:dyDescent="0.35">
      <c r="A21" s="25">
        <v>18</v>
      </c>
      <c r="B21" s="27"/>
      <c r="C21" s="27"/>
      <c r="D21" s="28"/>
      <c r="E21" s="28"/>
    </row>
    <row r="35" spans="1:41" ht="14.5" thickBot="1" x14ac:dyDescent="0.35"/>
    <row r="36" spans="1:41" ht="31" customHeight="1" thickBot="1" x14ac:dyDescent="0.35">
      <c r="A36" s="166" t="s">
        <v>134</v>
      </c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8"/>
    </row>
    <row r="37" spans="1:41" ht="23" thickBot="1" x14ac:dyDescent="0.35">
      <c r="A37" s="152" t="s">
        <v>157</v>
      </c>
      <c r="B37" s="153"/>
      <c r="C37" s="153"/>
      <c r="D37" s="153"/>
      <c r="E37" s="153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1"/>
    </row>
    <row r="38" spans="1:41" ht="17.5" customHeight="1" x14ac:dyDescent="0.3">
      <c r="A38" s="160" t="s">
        <v>135</v>
      </c>
      <c r="B38" s="161"/>
      <c r="C38" s="68" t="s">
        <v>136</v>
      </c>
      <c r="D38" s="68" t="s">
        <v>32</v>
      </c>
      <c r="E38" s="69" t="s">
        <v>46</v>
      </c>
    </row>
    <row r="39" spans="1:41" ht="16" x14ac:dyDescent="0.3">
      <c r="A39" s="162" t="s">
        <v>137</v>
      </c>
      <c r="B39" s="163"/>
      <c r="C39" s="71" t="s">
        <v>150</v>
      </c>
      <c r="D39" s="70">
        <v>59</v>
      </c>
      <c r="E39" s="72" t="s">
        <v>138</v>
      </c>
    </row>
    <row r="40" spans="1:41" ht="16" x14ac:dyDescent="0.3">
      <c r="A40" s="162" t="s">
        <v>139</v>
      </c>
      <c r="B40" s="163"/>
      <c r="C40" s="71" t="s">
        <v>151</v>
      </c>
      <c r="D40" s="70">
        <v>180</v>
      </c>
      <c r="E40" s="72" t="s">
        <v>138</v>
      </c>
    </row>
    <row r="41" spans="1:41" x14ac:dyDescent="0.3">
      <c r="A41" s="162" t="s">
        <v>140</v>
      </c>
      <c r="B41" s="163"/>
      <c r="C41" s="71" t="s">
        <v>146</v>
      </c>
      <c r="D41" s="70">
        <v>8000</v>
      </c>
      <c r="E41" s="72" t="s">
        <v>154</v>
      </c>
    </row>
    <row r="42" spans="1:41" x14ac:dyDescent="0.3">
      <c r="A42" s="162" t="s">
        <v>141</v>
      </c>
      <c r="B42" s="163"/>
      <c r="C42" s="71" t="s">
        <v>147</v>
      </c>
      <c r="D42" s="70">
        <v>3400</v>
      </c>
      <c r="E42" s="72" t="s">
        <v>155</v>
      </c>
    </row>
    <row r="43" spans="1:41" ht="16" x14ac:dyDescent="0.3">
      <c r="A43" s="162" t="s">
        <v>142</v>
      </c>
      <c r="B43" s="163"/>
      <c r="C43" s="71" t="s">
        <v>152</v>
      </c>
      <c r="D43" s="70">
        <v>2.5000000000000001E-2</v>
      </c>
      <c r="E43" s="72"/>
    </row>
    <row r="44" spans="1:41" x14ac:dyDescent="0.3">
      <c r="A44" s="162" t="s">
        <v>143</v>
      </c>
      <c r="B44" s="163"/>
      <c r="C44" s="70" t="s">
        <v>148</v>
      </c>
      <c r="D44" s="70">
        <v>10</v>
      </c>
      <c r="E44" s="72"/>
    </row>
    <row r="45" spans="1:41" x14ac:dyDescent="0.3">
      <c r="A45" s="162" t="s">
        <v>144</v>
      </c>
      <c r="B45" s="163"/>
      <c r="C45" s="71" t="s">
        <v>149</v>
      </c>
      <c r="D45" s="70">
        <v>0.5</v>
      </c>
      <c r="E45" s="72"/>
    </row>
    <row r="46" spans="1:41" ht="16" x14ac:dyDescent="0.3">
      <c r="A46" s="176" t="s">
        <v>145</v>
      </c>
      <c r="B46" s="177"/>
      <c r="C46" s="71" t="s">
        <v>153</v>
      </c>
      <c r="D46" s="70">
        <v>310</v>
      </c>
      <c r="E46" s="72" t="s">
        <v>156</v>
      </c>
    </row>
    <row r="47" spans="1:41" ht="14.5" thickBot="1" x14ac:dyDescent="0.35">
      <c r="A47" s="164" t="s">
        <v>181</v>
      </c>
      <c r="B47" s="165"/>
      <c r="C47" s="122"/>
      <c r="D47" s="123">
        <v>6.3</v>
      </c>
      <c r="E47" s="124" t="s">
        <v>154</v>
      </c>
    </row>
    <row r="48" spans="1:41" ht="23" thickBot="1" x14ac:dyDescent="0.35">
      <c r="A48" s="149" t="s">
        <v>158</v>
      </c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1"/>
    </row>
    <row r="49" spans="1:41" ht="16" x14ac:dyDescent="0.3">
      <c r="A49" s="75" t="s">
        <v>159</v>
      </c>
      <c r="B49" s="5"/>
      <c r="C49" s="5"/>
      <c r="D49" s="5"/>
      <c r="E49" s="5"/>
    </row>
    <row r="50" spans="1:41" ht="17" thickBot="1" x14ac:dyDescent="0.35">
      <c r="A50" s="75" t="s">
        <v>160</v>
      </c>
      <c r="B50" s="5"/>
      <c r="C50" s="5"/>
      <c r="D50" s="5"/>
      <c r="E50" s="5"/>
    </row>
    <row r="51" spans="1:41" ht="23" thickBot="1" x14ac:dyDescent="0.35">
      <c r="A51" s="149" t="s">
        <v>161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1"/>
    </row>
    <row r="52" spans="1:41" x14ac:dyDescent="0.3">
      <c r="A52" s="160" t="s">
        <v>135</v>
      </c>
      <c r="B52" s="161"/>
      <c r="C52" s="68" t="s">
        <v>136</v>
      </c>
      <c r="D52" s="68" t="s">
        <v>32</v>
      </c>
      <c r="E52" s="69" t="s">
        <v>46</v>
      </c>
    </row>
    <row r="53" spans="1:41" ht="16.5" x14ac:dyDescent="0.3">
      <c r="A53" s="162" t="s">
        <v>172</v>
      </c>
      <c r="B53" s="163"/>
      <c r="C53" s="71" t="s">
        <v>164</v>
      </c>
      <c r="D53" s="70">
        <f>'00_大气属性'!B2</f>
        <v>2.3779999999999999E-3</v>
      </c>
      <c r="E53" s="72" t="s">
        <v>91</v>
      </c>
    </row>
    <row r="54" spans="1:41" ht="16" customHeight="1" x14ac:dyDescent="0.3">
      <c r="A54" s="162" t="s">
        <v>171</v>
      </c>
      <c r="B54" s="163"/>
      <c r="C54" s="71" t="s">
        <v>165</v>
      </c>
      <c r="D54" s="70">
        <f>'00_大气属性'!B18</f>
        <v>1.869102366575051E-3</v>
      </c>
      <c r="E54" s="72" t="s">
        <v>91</v>
      </c>
    </row>
    <row r="55" spans="1:41" x14ac:dyDescent="0.3">
      <c r="A55" s="162" t="s">
        <v>162</v>
      </c>
      <c r="B55" s="163"/>
      <c r="C55" s="71" t="s">
        <v>166</v>
      </c>
      <c r="D55" s="70">
        <f>1.78*(1-0.045*D44^0.68)-0.64</f>
        <v>0.75661729604956662</v>
      </c>
      <c r="E55" s="72" t="s">
        <v>47</v>
      </c>
    </row>
    <row r="56" spans="1:41" x14ac:dyDescent="0.3">
      <c r="A56" s="162" t="s">
        <v>163</v>
      </c>
      <c r="B56" s="163"/>
      <c r="C56" s="71" t="s">
        <v>156</v>
      </c>
      <c r="D56" s="70">
        <f>D46*('00_大气属性'!B18/'00_大气属性'!B2-0.117)/0.883</f>
        <v>234.86893048407393</v>
      </c>
      <c r="E56" s="72" t="s">
        <v>156</v>
      </c>
    </row>
    <row r="57" spans="1:41" ht="14.5" thickBot="1" x14ac:dyDescent="0.35">
      <c r="A57" s="162" t="s">
        <v>179</v>
      </c>
      <c r="B57" s="163"/>
      <c r="C57" s="71" t="s">
        <v>180</v>
      </c>
      <c r="D57" s="70">
        <f>1/(PI()*D44*D55)</f>
        <v>4.2070130810614975E-2</v>
      </c>
      <c r="E57" s="72" t="s">
        <v>47</v>
      </c>
    </row>
    <row r="58" spans="1:41" ht="28" thickBot="1" x14ac:dyDescent="0.35">
      <c r="A58" s="152" t="s">
        <v>167</v>
      </c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1"/>
    </row>
    <row r="59" spans="1:41" ht="16.5" x14ac:dyDescent="0.3">
      <c r="A59" s="184" t="s">
        <v>168</v>
      </c>
      <c r="B59" s="154"/>
      <c r="C59" s="178" t="s">
        <v>169</v>
      </c>
      <c r="D59" s="179"/>
      <c r="E59" s="179"/>
      <c r="F59" s="179"/>
      <c r="G59" s="179"/>
      <c r="H59" s="179"/>
      <c r="I59" s="179"/>
      <c r="J59" s="179"/>
      <c r="K59" s="180"/>
    </row>
    <row r="60" spans="1:41" x14ac:dyDescent="0.3">
      <c r="A60" s="185"/>
      <c r="B60" s="186"/>
      <c r="C60" s="59">
        <v>120</v>
      </c>
      <c r="D60" s="59">
        <v>130</v>
      </c>
      <c r="E60" s="59">
        <v>140</v>
      </c>
      <c r="F60" s="59">
        <v>150</v>
      </c>
      <c r="G60" s="59">
        <v>160</v>
      </c>
      <c r="H60" s="59">
        <v>150</v>
      </c>
      <c r="I60" s="59">
        <v>160</v>
      </c>
      <c r="J60" s="59">
        <v>170</v>
      </c>
      <c r="K60" s="77">
        <v>180</v>
      </c>
    </row>
    <row r="61" spans="1:41" x14ac:dyDescent="0.3">
      <c r="A61" s="187" t="s">
        <v>170</v>
      </c>
      <c r="B61" s="59">
        <v>1.7</v>
      </c>
      <c r="C61" s="79">
        <f t="shared" ref="C61:K67" si="22">(2*$D$42/($D$53*C$60*$B61))^0.5/1.688</f>
        <v>70.13923184011243</v>
      </c>
      <c r="D61" s="79">
        <f t="shared" si="22"/>
        <v>67.387594223185118</v>
      </c>
      <c r="E61" s="79">
        <f t="shared" si="22"/>
        <v>64.936310620183008</v>
      </c>
      <c r="F61" s="79">
        <f t="shared" si="22"/>
        <v>62.734436113643618</v>
      </c>
      <c r="G61" s="79">
        <f t="shared" si="22"/>
        <v>60.742356575463717</v>
      </c>
      <c r="H61" s="79">
        <f t="shared" si="22"/>
        <v>62.734436113643618</v>
      </c>
      <c r="I61" s="79">
        <f t="shared" si="22"/>
        <v>60.742356575463717</v>
      </c>
      <c r="J61" s="79">
        <f t="shared" si="22"/>
        <v>58.928741672839607</v>
      </c>
      <c r="K61" s="79">
        <f t="shared" si="22"/>
        <v>57.268442986348887</v>
      </c>
    </row>
    <row r="62" spans="1:41" x14ac:dyDescent="0.3">
      <c r="A62" s="187"/>
      <c r="B62" s="59">
        <v>1.8</v>
      </c>
      <c r="C62" s="79">
        <f t="shared" si="22"/>
        <v>68.163081133516215</v>
      </c>
      <c r="D62" s="79">
        <f t="shared" si="22"/>
        <v>65.488970037457918</v>
      </c>
      <c r="E62" s="79">
        <f t="shared" si="22"/>
        <v>63.106750575836507</v>
      </c>
      <c r="F62" s="79">
        <f t="shared" si="22"/>
        <v>60.966913188150286</v>
      </c>
      <c r="G62" s="79">
        <f t="shared" si="22"/>
        <v>59.030959861844842</v>
      </c>
      <c r="H62" s="79">
        <f t="shared" si="22"/>
        <v>60.966913188150286</v>
      </c>
      <c r="I62" s="79">
        <f t="shared" si="22"/>
        <v>59.030959861844842</v>
      </c>
      <c r="J62" s="79">
        <f t="shared" si="22"/>
        <v>57.268442986348887</v>
      </c>
      <c r="K62" s="79">
        <f t="shared" si="22"/>
        <v>55.654922691015187</v>
      </c>
    </row>
    <row r="63" spans="1:41" x14ac:dyDescent="0.3">
      <c r="A63" s="187"/>
      <c r="B63" s="59">
        <v>1.9</v>
      </c>
      <c r="C63" s="79">
        <f t="shared" si="22"/>
        <v>66.345071340782823</v>
      </c>
      <c r="D63" s="79">
        <f t="shared" si="22"/>
        <v>63.742282727198102</v>
      </c>
      <c r="E63" s="79">
        <f t="shared" si="22"/>
        <v>61.423600568140593</v>
      </c>
      <c r="F63" s="79">
        <f t="shared" si="22"/>
        <v>59.340835796025409</v>
      </c>
      <c r="G63" s="79">
        <f t="shared" si="22"/>
        <v>57.456517197008836</v>
      </c>
      <c r="H63" s="79">
        <f t="shared" si="22"/>
        <v>59.340835796025409</v>
      </c>
      <c r="I63" s="79">
        <f t="shared" si="22"/>
        <v>57.456517197008836</v>
      </c>
      <c r="J63" s="79">
        <f t="shared" si="22"/>
        <v>55.741009243149414</v>
      </c>
      <c r="K63" s="79">
        <f t="shared" si="22"/>
        <v>54.170523911155243</v>
      </c>
    </row>
    <row r="64" spans="1:41" x14ac:dyDescent="0.3">
      <c r="A64" s="187"/>
      <c r="B64" s="59">
        <v>2</v>
      </c>
      <c r="C64" s="79">
        <f t="shared" si="22"/>
        <v>64.665176615028926</v>
      </c>
      <c r="D64" s="79">
        <f t="shared" si="22"/>
        <v>62.12829208106686</v>
      </c>
      <c r="E64" s="79">
        <f t="shared" si="22"/>
        <v>59.868320265535743</v>
      </c>
      <c r="F64" s="79">
        <f t="shared" si="22"/>
        <v>57.838292275293774</v>
      </c>
      <c r="G64" s="79">
        <f t="shared" si="22"/>
        <v>56.001685688822469</v>
      </c>
      <c r="H64" s="79">
        <f t="shared" si="22"/>
        <v>57.838292275293774</v>
      </c>
      <c r="I64" s="79">
        <f t="shared" si="22"/>
        <v>56.001685688822469</v>
      </c>
      <c r="J64" s="79">
        <f t="shared" si="22"/>
        <v>54.329615366507284</v>
      </c>
      <c r="K64" s="79">
        <f t="shared" si="22"/>
        <v>52.798895611258665</v>
      </c>
    </row>
    <row r="65" spans="1:41" x14ac:dyDescent="0.3">
      <c r="A65" s="187"/>
      <c r="B65" s="59">
        <v>2.1</v>
      </c>
      <c r="C65" s="79">
        <f t="shared" si="22"/>
        <v>63.106750575836507</v>
      </c>
      <c r="D65" s="79">
        <f t="shared" si="22"/>
        <v>60.631004774080921</v>
      </c>
      <c r="E65" s="79">
        <f t="shared" si="22"/>
        <v>58.425498114442483</v>
      </c>
      <c r="F65" s="79">
        <f t="shared" si="22"/>
        <v>56.444393650677782</v>
      </c>
      <c r="G65" s="79">
        <f t="shared" si="22"/>
        <v>54.652049148962668</v>
      </c>
      <c r="H65" s="79">
        <f t="shared" si="22"/>
        <v>56.444393650677782</v>
      </c>
      <c r="I65" s="79">
        <f t="shared" si="22"/>
        <v>54.652049148962668</v>
      </c>
      <c r="J65" s="79">
        <f t="shared" si="22"/>
        <v>53.020275599440204</v>
      </c>
      <c r="K65" s="79">
        <f t="shared" si="22"/>
        <v>51.52644607862932</v>
      </c>
    </row>
    <row r="66" spans="1:41" x14ac:dyDescent="0.3">
      <c r="A66" s="187"/>
      <c r="B66" s="59">
        <v>2.2000000000000002</v>
      </c>
      <c r="C66" s="79">
        <f t="shared" si="22"/>
        <v>61.655826729389005</v>
      </c>
      <c r="D66" s="79">
        <f t="shared" si="22"/>
        <v>59.237002233020441</v>
      </c>
      <c r="E66" s="79">
        <f t="shared" si="22"/>
        <v>57.082203654162072</v>
      </c>
      <c r="F66" s="79">
        <f t="shared" si="22"/>
        <v>55.146647910344939</v>
      </c>
      <c r="G66" s="79">
        <f t="shared" si="22"/>
        <v>53.395512238982505</v>
      </c>
      <c r="H66" s="79">
        <f t="shared" si="22"/>
        <v>55.146647910344939</v>
      </c>
      <c r="I66" s="79">
        <f t="shared" si="22"/>
        <v>53.395512238982505</v>
      </c>
      <c r="J66" s="79">
        <f t="shared" si="22"/>
        <v>51.801255740067155</v>
      </c>
      <c r="K66" s="79">
        <f t="shared" si="22"/>
        <v>50.341771718818428</v>
      </c>
    </row>
    <row r="67" spans="1:41" ht="14.5" thickBot="1" x14ac:dyDescent="0.35">
      <c r="A67" s="188"/>
      <c r="B67" s="78">
        <v>2.2999999999999998</v>
      </c>
      <c r="C67" s="79">
        <f t="shared" si="22"/>
        <v>60.300588119223576</v>
      </c>
      <c r="D67" s="79">
        <f t="shared" si="22"/>
        <v>57.934931093353455</v>
      </c>
      <c r="E67" s="79">
        <f t="shared" si="22"/>
        <v>55.827496508883101</v>
      </c>
      <c r="F67" s="79">
        <f t="shared" si="22"/>
        <v>53.934485647120049</v>
      </c>
      <c r="G67" s="79">
        <f t="shared" si="22"/>
        <v>52.221841174389724</v>
      </c>
      <c r="H67" s="79">
        <f t="shared" si="22"/>
        <v>53.934485647120049</v>
      </c>
      <c r="I67" s="79">
        <f t="shared" si="22"/>
        <v>52.221841174389724</v>
      </c>
      <c r="J67" s="79">
        <f t="shared" si="22"/>
        <v>50.662627559114881</v>
      </c>
      <c r="K67" s="79">
        <f t="shared" si="22"/>
        <v>49.235224027277106</v>
      </c>
    </row>
    <row r="68" spans="1:41" ht="23" thickBot="1" x14ac:dyDescent="0.35">
      <c r="A68" s="149" t="s">
        <v>182</v>
      </c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1"/>
    </row>
    <row r="69" spans="1:41" ht="16.5" x14ac:dyDescent="0.3">
      <c r="A69" s="183" t="s">
        <v>176</v>
      </c>
      <c r="B69" s="161"/>
      <c r="C69" s="80" t="s">
        <v>175</v>
      </c>
      <c r="D69" s="81" t="s">
        <v>173</v>
      </c>
      <c r="E69" s="82" t="s">
        <v>174</v>
      </c>
      <c r="H69" s="82" t="s">
        <v>178</v>
      </c>
    </row>
    <row r="70" spans="1:41" x14ac:dyDescent="0.3">
      <c r="A70" s="162">
        <v>120</v>
      </c>
      <c r="B70" s="163"/>
      <c r="C70" s="84" cm="1">
        <f t="array" ref="C70">PropEfficiency($D$56,H70,$D$41,6.3,0.85)</f>
        <v>0.82780802249908447</v>
      </c>
      <c r="D70" s="86" cm="1">
        <f t="array" ref="D70">PERF_Vmax_Prop(A70,$D$57,$D$43,$D$42,$D$41,$D$56,C70)/1.688</f>
        <v>190.66075691114671</v>
      </c>
      <c r="E70" s="85">
        <v>190.66499999999999</v>
      </c>
      <c r="H70" s="83">
        <f>E70*1.688</f>
        <v>321.84251999999998</v>
      </c>
    </row>
    <row r="71" spans="1:41" x14ac:dyDescent="0.3">
      <c r="A71" s="162">
        <v>130</v>
      </c>
      <c r="B71" s="163"/>
      <c r="C71" s="84" cm="1">
        <f t="array" ref="C71">PropEfficiency($D$56,H71,$D$41,6.3,0.85)</f>
        <v>0.8262321949005127</v>
      </c>
      <c r="D71" s="86" cm="1">
        <f t="array" ref="D71">PERF_Vmax_Prop(A71,$D$57,$D$43,$D$42,$D$41,$D$56,C71)/1.688</f>
        <v>185.98484202018847</v>
      </c>
      <c r="E71" s="83">
        <v>186</v>
      </c>
      <c r="H71" s="83">
        <f t="shared" ref="H71:H76" si="23">E71*1.688</f>
        <v>313.96800000000002</v>
      </c>
    </row>
    <row r="72" spans="1:41" x14ac:dyDescent="0.3">
      <c r="A72" s="162">
        <v>140</v>
      </c>
      <c r="B72" s="163"/>
      <c r="C72" s="84" cm="1">
        <f t="array" ref="C72">PropEfficiency($D$56,H72,$D$41,6.3,0.85)</f>
        <v>0.82476526498794556</v>
      </c>
      <c r="D72" s="86" cm="1">
        <f t="array" ref="D72">PERF_Vmax_Prop(A72,$D$57,$D$43,$D$42,$D$41,$D$56,C72)/1.688</f>
        <v>181.73223197177688</v>
      </c>
      <c r="E72" s="83">
        <v>182</v>
      </c>
      <c r="H72" s="83">
        <f t="shared" si="23"/>
        <v>307.21600000000001</v>
      </c>
    </row>
    <row r="73" spans="1:41" x14ac:dyDescent="0.3">
      <c r="A73" s="162">
        <v>150</v>
      </c>
      <c r="B73" s="163"/>
      <c r="C73" s="84" cm="1">
        <f t="array" ref="C73">PropEfficiency($D$56,H73,$D$41,6.3,0.85)</f>
        <v>0.8231806755065918</v>
      </c>
      <c r="D73" s="86" cm="1">
        <f t="array" ref="D73">PERF_Vmax_Prop(A73,$D$57,$D$43,$D$42,$D$41,$D$56,C73)/1.688</f>
        <v>177.82247461978858</v>
      </c>
      <c r="E73" s="83">
        <v>178</v>
      </c>
      <c r="H73" s="83">
        <f t="shared" si="23"/>
        <v>300.464</v>
      </c>
    </row>
    <row r="74" spans="1:41" x14ac:dyDescent="0.3">
      <c r="A74" s="162">
        <v>160</v>
      </c>
      <c r="B74" s="163"/>
      <c r="C74" s="84" cm="1">
        <f t="array" ref="C74">PropEfficiency($D$56,H74,$D$41,6.3,0.85)</f>
        <v>0.82146704196929932</v>
      </c>
      <c r="D74" s="86" cm="1">
        <f t="array" ref="D74">PERF_Vmax_Prop(A74,$D$57,$D$43,$D$42,$D$41,$D$56,C74)/1.688</f>
        <v>174.20668398599489</v>
      </c>
      <c r="E74" s="83">
        <v>174</v>
      </c>
      <c r="H74" s="83">
        <f t="shared" si="23"/>
        <v>293.71199999999999</v>
      </c>
    </row>
    <row r="75" spans="1:41" x14ac:dyDescent="0.3">
      <c r="A75" s="162">
        <v>170</v>
      </c>
      <c r="B75" s="163"/>
      <c r="C75" s="84" cm="1">
        <f t="array" ref="C75">PropEfficiency($D$56,H75,$D$41,6.3,0.85)</f>
        <v>0.82008975744247437</v>
      </c>
      <c r="D75" s="86" cm="1">
        <f t="array" ref="D75">PERF_Vmax_Prop(A75,$D$57,$D$43,$D$42,$D$41,$D$56,C75)/1.688</f>
        <v>170.88326910660732</v>
      </c>
      <c r="E75" s="83">
        <v>171</v>
      </c>
      <c r="H75" s="83">
        <f t="shared" si="23"/>
        <v>288.64799999999997</v>
      </c>
    </row>
    <row r="76" spans="1:41" ht="14.5" thickBot="1" x14ac:dyDescent="0.35">
      <c r="A76" s="181">
        <v>180</v>
      </c>
      <c r="B76" s="182"/>
      <c r="C76" s="84" cm="1">
        <f t="array" ref="C76">PropEfficiency($D$56,H76,$D$41,6.3,0.85)</f>
        <v>0.81862705945968628</v>
      </c>
      <c r="D76" s="86" cm="1">
        <f t="array" ref="D76">PERF_Vmax_Prop(A76,$D$57,$D$43,$D$42,$D$41,$D$56,C76)/1.688</f>
        <v>167.7845055458105</v>
      </c>
      <c r="E76" s="83">
        <v>168</v>
      </c>
      <c r="H76" s="83">
        <f t="shared" si="23"/>
        <v>283.584</v>
      </c>
    </row>
    <row r="77" spans="1:41" ht="23" thickBot="1" x14ac:dyDescent="0.35">
      <c r="A77" s="152" t="s">
        <v>183</v>
      </c>
      <c r="B77" s="153"/>
      <c r="C77" s="153"/>
      <c r="D77" s="153"/>
      <c r="E77" s="153"/>
      <c r="F77" s="153"/>
      <c r="G77" s="153"/>
      <c r="H77" s="153"/>
      <c r="I77" s="153"/>
      <c r="J77" s="153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1"/>
    </row>
    <row r="78" spans="1:41" ht="16.5" x14ac:dyDescent="0.3">
      <c r="A78" s="76" t="s">
        <v>184</v>
      </c>
      <c r="B78" s="154" t="s">
        <v>185</v>
      </c>
      <c r="C78" s="154"/>
      <c r="D78" s="154"/>
      <c r="E78" s="154"/>
      <c r="F78" s="154"/>
      <c r="G78" s="154"/>
      <c r="H78" s="154"/>
      <c r="I78" s="154"/>
      <c r="J78" s="155"/>
    </row>
    <row r="79" spans="1:41" x14ac:dyDescent="0.3">
      <c r="A79" s="88">
        <v>120</v>
      </c>
      <c r="B79" s="86">
        <f>$D$70</f>
        <v>190.66075691114671</v>
      </c>
      <c r="C79" s="86">
        <f>$D$71</f>
        <v>185.98484202018847</v>
      </c>
      <c r="D79" s="86">
        <f>$D$72</f>
        <v>181.73223197177688</v>
      </c>
      <c r="E79" s="86">
        <f>$D$73</f>
        <v>177.82247461978858</v>
      </c>
      <c r="F79" s="86"/>
      <c r="G79" s="86"/>
      <c r="H79" s="86">
        <f>$D$74</f>
        <v>174.20668398599489</v>
      </c>
      <c r="I79" s="86">
        <f>$D$75</f>
        <v>170.88326910660732</v>
      </c>
      <c r="J79" s="89">
        <f>$D$76</f>
        <v>167.7845055458105</v>
      </c>
    </row>
    <row r="80" spans="1:41" x14ac:dyDescent="0.3">
      <c r="A80" s="88">
        <v>130</v>
      </c>
      <c r="B80" s="86">
        <f t="shared" ref="B80:B85" si="24">$D$70</f>
        <v>190.66075691114671</v>
      </c>
      <c r="C80" s="86">
        <f t="shared" ref="C80:C85" si="25">$D$71</f>
        <v>185.98484202018847</v>
      </c>
      <c r="D80" s="86">
        <f t="shared" ref="D80:D85" si="26">$D$72</f>
        <v>181.73223197177688</v>
      </c>
      <c r="E80" s="86">
        <f t="shared" ref="E80:E85" si="27">$D$73</f>
        <v>177.82247461978858</v>
      </c>
      <c r="F80" s="86"/>
      <c r="G80" s="86"/>
      <c r="H80" s="86">
        <f t="shared" ref="H80:H85" si="28">$D$74</f>
        <v>174.20668398599489</v>
      </c>
      <c r="I80" s="86">
        <f t="shared" ref="I80:I85" si="29">$D$75</f>
        <v>170.88326910660732</v>
      </c>
      <c r="J80" s="89">
        <f t="shared" ref="J80:J85" si="30">$D$76</f>
        <v>167.7845055458105</v>
      </c>
    </row>
    <row r="81" spans="1:41" x14ac:dyDescent="0.3">
      <c r="A81" s="88">
        <v>140</v>
      </c>
      <c r="B81" s="86">
        <f t="shared" si="24"/>
        <v>190.66075691114671</v>
      </c>
      <c r="C81" s="86">
        <f t="shared" si="25"/>
        <v>185.98484202018847</v>
      </c>
      <c r="D81" s="86">
        <f t="shared" si="26"/>
        <v>181.73223197177688</v>
      </c>
      <c r="E81" s="86">
        <f t="shared" si="27"/>
        <v>177.82247461978858</v>
      </c>
      <c r="F81" s="86"/>
      <c r="G81" s="86"/>
      <c r="H81" s="86">
        <f t="shared" si="28"/>
        <v>174.20668398599489</v>
      </c>
      <c r="I81" s="86">
        <f t="shared" si="29"/>
        <v>170.88326910660732</v>
      </c>
      <c r="J81" s="89">
        <f t="shared" si="30"/>
        <v>167.7845055458105</v>
      </c>
    </row>
    <row r="82" spans="1:41" x14ac:dyDescent="0.3">
      <c r="A82" s="88">
        <v>150</v>
      </c>
      <c r="B82" s="86">
        <f t="shared" si="24"/>
        <v>190.66075691114671</v>
      </c>
      <c r="C82" s="86">
        <f t="shared" si="25"/>
        <v>185.98484202018847</v>
      </c>
      <c r="D82" s="86">
        <f t="shared" si="26"/>
        <v>181.73223197177688</v>
      </c>
      <c r="E82" s="86">
        <f t="shared" si="27"/>
        <v>177.82247461978858</v>
      </c>
      <c r="F82" s="86"/>
      <c r="G82" s="86"/>
      <c r="H82" s="86">
        <f t="shared" si="28"/>
        <v>174.20668398599489</v>
      </c>
      <c r="I82" s="86">
        <f t="shared" si="29"/>
        <v>170.88326910660732</v>
      </c>
      <c r="J82" s="89">
        <f t="shared" si="30"/>
        <v>167.7845055458105</v>
      </c>
    </row>
    <row r="83" spans="1:41" x14ac:dyDescent="0.3">
      <c r="A83" s="88">
        <v>160</v>
      </c>
      <c r="B83" s="86">
        <f t="shared" si="24"/>
        <v>190.66075691114671</v>
      </c>
      <c r="C83" s="86">
        <f t="shared" si="25"/>
        <v>185.98484202018847</v>
      </c>
      <c r="D83" s="86">
        <f t="shared" si="26"/>
        <v>181.73223197177688</v>
      </c>
      <c r="E83" s="86">
        <f t="shared" si="27"/>
        <v>177.82247461978858</v>
      </c>
      <c r="F83" s="86"/>
      <c r="G83" s="86"/>
      <c r="H83" s="86">
        <f t="shared" si="28"/>
        <v>174.20668398599489</v>
      </c>
      <c r="I83" s="86">
        <f t="shared" si="29"/>
        <v>170.88326910660732</v>
      </c>
      <c r="J83" s="89">
        <f t="shared" si="30"/>
        <v>167.7845055458105</v>
      </c>
    </row>
    <row r="84" spans="1:41" x14ac:dyDescent="0.3">
      <c r="A84" s="88">
        <v>170</v>
      </c>
      <c r="B84" s="86">
        <f t="shared" si="24"/>
        <v>190.66075691114671</v>
      </c>
      <c r="C84" s="86">
        <f t="shared" si="25"/>
        <v>185.98484202018847</v>
      </c>
      <c r="D84" s="86">
        <f t="shared" si="26"/>
        <v>181.73223197177688</v>
      </c>
      <c r="E84" s="86">
        <f t="shared" si="27"/>
        <v>177.82247461978858</v>
      </c>
      <c r="F84" s="86"/>
      <c r="G84" s="86"/>
      <c r="H84" s="86">
        <f t="shared" si="28"/>
        <v>174.20668398599489</v>
      </c>
      <c r="I84" s="86">
        <f t="shared" si="29"/>
        <v>170.88326910660732</v>
      </c>
      <c r="J84" s="89">
        <f t="shared" si="30"/>
        <v>167.7845055458105</v>
      </c>
    </row>
    <row r="85" spans="1:41" ht="14.5" thickBot="1" x14ac:dyDescent="0.35">
      <c r="A85" s="90">
        <v>180</v>
      </c>
      <c r="B85" s="87">
        <f t="shared" si="24"/>
        <v>190.66075691114671</v>
      </c>
      <c r="C85" s="87">
        <f t="shared" si="25"/>
        <v>185.98484202018847</v>
      </c>
      <c r="D85" s="87">
        <f t="shared" si="26"/>
        <v>181.73223197177688</v>
      </c>
      <c r="E85" s="87">
        <f t="shared" si="27"/>
        <v>177.82247461978858</v>
      </c>
      <c r="F85" s="87"/>
      <c r="G85" s="87"/>
      <c r="H85" s="87">
        <f t="shared" si="28"/>
        <v>174.20668398599489</v>
      </c>
      <c r="I85" s="87">
        <f t="shared" si="29"/>
        <v>170.88326910660732</v>
      </c>
      <c r="J85" s="91">
        <f t="shared" si="30"/>
        <v>167.7845055458105</v>
      </c>
    </row>
    <row r="86" spans="1:41" ht="23" thickBot="1" x14ac:dyDescent="0.35">
      <c r="A86" s="149" t="s">
        <v>186</v>
      </c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1"/>
    </row>
  </sheetData>
  <mergeCells count="49">
    <mergeCell ref="A75:B75"/>
    <mergeCell ref="A76:B76"/>
    <mergeCell ref="A57:B57"/>
    <mergeCell ref="A69:B69"/>
    <mergeCell ref="A70:B70"/>
    <mergeCell ref="A71:B71"/>
    <mergeCell ref="A72:B72"/>
    <mergeCell ref="A73:B73"/>
    <mergeCell ref="A74:B74"/>
    <mergeCell ref="A59:B60"/>
    <mergeCell ref="A61:A67"/>
    <mergeCell ref="A68:AO68"/>
    <mergeCell ref="A45:B45"/>
    <mergeCell ref="A46:B46"/>
    <mergeCell ref="A48:AO48"/>
    <mergeCell ref="C59:K59"/>
    <mergeCell ref="A53:B53"/>
    <mergeCell ref="A52:B52"/>
    <mergeCell ref="A54:B54"/>
    <mergeCell ref="A55:B55"/>
    <mergeCell ref="A56:B56"/>
    <mergeCell ref="A58:AO58"/>
    <mergeCell ref="A1:AO1"/>
    <mergeCell ref="A36:AO36"/>
    <mergeCell ref="B19:C19"/>
    <mergeCell ref="B20:C20"/>
    <mergeCell ref="O2:T2"/>
    <mergeCell ref="B11:B15"/>
    <mergeCell ref="B3:C3"/>
    <mergeCell ref="B4:C4"/>
    <mergeCell ref="B5:B7"/>
    <mergeCell ref="B8:B10"/>
    <mergeCell ref="B16:B17"/>
    <mergeCell ref="A86:AO86"/>
    <mergeCell ref="A77:AO77"/>
    <mergeCell ref="B78:J78"/>
    <mergeCell ref="V2:AA2"/>
    <mergeCell ref="AC2:AH2"/>
    <mergeCell ref="AI2:AO2"/>
    <mergeCell ref="A51:AO51"/>
    <mergeCell ref="A37:AO37"/>
    <mergeCell ref="A38:B38"/>
    <mergeCell ref="A39:B39"/>
    <mergeCell ref="A40:B40"/>
    <mergeCell ref="A41:B41"/>
    <mergeCell ref="A42:B42"/>
    <mergeCell ref="A47:B47"/>
    <mergeCell ref="A43:B43"/>
    <mergeCell ref="A44:B44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E1C6C-2F28-40C7-B672-A3D8F19B1CE6}">
  <sheetPr codeName="Sheet5"/>
  <dimension ref="A1:AO73"/>
  <sheetViews>
    <sheetView topLeftCell="A44" zoomScale="85" zoomScaleNormal="85" workbookViewId="0">
      <selection activeCell="G68" sqref="G68"/>
    </sheetView>
  </sheetViews>
  <sheetFormatPr defaultRowHeight="14" x14ac:dyDescent="0.3"/>
  <cols>
    <col min="2" max="2" width="20.08203125" customWidth="1"/>
    <col min="3" max="3" width="8.6640625" customWidth="1"/>
    <col min="4" max="4" width="10" bestFit="1" customWidth="1"/>
    <col min="9" max="9" width="13.75" customWidth="1"/>
  </cols>
  <sheetData>
    <row r="1" spans="1:9" ht="28.5" customHeight="1" thickBot="1" x14ac:dyDescent="0.35">
      <c r="A1" s="197" t="s">
        <v>215</v>
      </c>
      <c r="B1" s="198"/>
      <c r="C1" s="198"/>
      <c r="D1" s="198"/>
      <c r="E1" s="198"/>
      <c r="F1" s="198"/>
      <c r="G1" s="198"/>
      <c r="H1" s="198"/>
      <c r="I1" s="199"/>
    </row>
    <row r="2" spans="1:9" ht="17.5" x14ac:dyDescent="0.3">
      <c r="A2" s="54" t="s">
        <v>30</v>
      </c>
      <c r="B2" s="92" t="s">
        <v>31</v>
      </c>
      <c r="C2" s="93" t="s">
        <v>194</v>
      </c>
      <c r="D2" s="13" t="s">
        <v>32</v>
      </c>
      <c r="E2" s="13" t="s">
        <v>46</v>
      </c>
      <c r="G2" s="13" t="s">
        <v>214</v>
      </c>
      <c r="H2" s="13" t="s">
        <v>46</v>
      </c>
      <c r="I2" s="13" t="s">
        <v>212</v>
      </c>
    </row>
    <row r="3" spans="1:9" x14ac:dyDescent="0.3">
      <c r="A3" s="23">
        <v>1</v>
      </c>
      <c r="B3" s="3" t="s">
        <v>193</v>
      </c>
      <c r="C3" s="116" t="s">
        <v>195</v>
      </c>
      <c r="D3" s="3">
        <v>16</v>
      </c>
      <c r="E3" s="3" t="s">
        <v>47</v>
      </c>
      <c r="G3" s="118" t="s">
        <v>213</v>
      </c>
      <c r="H3" s="118" t="s">
        <v>155</v>
      </c>
      <c r="I3" s="119">
        <f>0.036*D6^0.758*D9^0.0035*(D3/(COS(D11*180/3.14))^2)^0.6*D5^0.006*D10^0.04*(100*D7/(COS(D11*180/3.14))^2)^-0.3*(D4*D8)^0.49</f>
        <v>272.50308994201941</v>
      </c>
    </row>
    <row r="4" spans="1:9" ht="16" x14ac:dyDescent="0.3">
      <c r="A4" s="23">
        <v>2</v>
      </c>
      <c r="B4" s="2" t="s">
        <v>196</v>
      </c>
      <c r="C4" s="116" t="s">
        <v>197</v>
      </c>
      <c r="D4" s="3">
        <v>6</v>
      </c>
      <c r="E4" s="3" t="s">
        <v>47</v>
      </c>
    </row>
    <row r="5" spans="1:9" ht="16.5" x14ac:dyDescent="0.3">
      <c r="A5" s="23">
        <v>3</v>
      </c>
      <c r="B5" s="2" t="s">
        <v>199</v>
      </c>
      <c r="C5" s="116" t="s">
        <v>198</v>
      </c>
      <c r="D5" s="120">
        <f>0.5*0.002378*(120*1.688)^2</f>
        <v>48.785328230399998</v>
      </c>
      <c r="E5" s="3" t="s">
        <v>95</v>
      </c>
    </row>
    <row r="6" spans="1:9" ht="16.5" x14ac:dyDescent="0.3">
      <c r="A6" s="23">
        <v>4</v>
      </c>
      <c r="B6" s="2" t="s">
        <v>200</v>
      </c>
      <c r="C6" s="116" t="s">
        <v>201</v>
      </c>
      <c r="D6" s="3">
        <v>130</v>
      </c>
      <c r="E6" s="3" t="s">
        <v>210</v>
      </c>
    </row>
    <row r="7" spans="1:9" x14ac:dyDescent="0.3">
      <c r="A7" s="23">
        <v>5</v>
      </c>
      <c r="B7" s="2" t="s">
        <v>202</v>
      </c>
      <c r="C7" s="116" t="s">
        <v>203</v>
      </c>
      <c r="D7" s="3">
        <v>0.16</v>
      </c>
      <c r="E7" s="3" t="s">
        <v>47</v>
      </c>
    </row>
    <row r="8" spans="1:9" ht="16" x14ac:dyDescent="0.3">
      <c r="A8" s="23">
        <v>6</v>
      </c>
      <c r="B8" s="2" t="s">
        <v>79</v>
      </c>
      <c r="C8" s="116" t="s">
        <v>204</v>
      </c>
      <c r="D8" s="3">
        <v>1320</v>
      </c>
      <c r="E8" s="3" t="s">
        <v>155</v>
      </c>
    </row>
    <row r="9" spans="1:9" ht="16" x14ac:dyDescent="0.3">
      <c r="A9" s="25">
        <v>7</v>
      </c>
      <c r="B9" s="2" t="s">
        <v>205</v>
      </c>
      <c r="C9" s="116" t="s">
        <v>206</v>
      </c>
      <c r="D9" s="3">
        <v>100</v>
      </c>
      <c r="E9" s="3" t="s">
        <v>155</v>
      </c>
    </row>
    <row r="10" spans="1:9" ht="14.5" x14ac:dyDescent="0.3">
      <c r="A10" s="25">
        <v>8</v>
      </c>
      <c r="B10" s="2" t="s">
        <v>207</v>
      </c>
      <c r="C10" s="117" t="s">
        <v>149</v>
      </c>
      <c r="D10" s="3">
        <v>0.5</v>
      </c>
      <c r="E10" s="3" t="s">
        <v>47</v>
      </c>
    </row>
    <row r="11" spans="1:9" ht="14.5" x14ac:dyDescent="0.3">
      <c r="A11" s="25">
        <v>9</v>
      </c>
      <c r="B11" s="2" t="s">
        <v>208</v>
      </c>
      <c r="C11" s="117" t="s">
        <v>209</v>
      </c>
      <c r="D11" s="3">
        <v>0</v>
      </c>
      <c r="E11" s="3" t="s">
        <v>211</v>
      </c>
    </row>
    <row r="12" spans="1:9" x14ac:dyDescent="0.3">
      <c r="A12" s="23">
        <v>10</v>
      </c>
      <c r="B12" s="2"/>
      <c r="C12" s="2"/>
      <c r="D12" s="3"/>
      <c r="E12" s="3"/>
    </row>
    <row r="13" spans="1:9" ht="16" x14ac:dyDescent="0.3">
      <c r="A13" s="23">
        <v>11</v>
      </c>
      <c r="B13" s="2" t="s">
        <v>216</v>
      </c>
      <c r="C13" s="2" t="s">
        <v>217</v>
      </c>
      <c r="D13" s="3">
        <v>-0.1</v>
      </c>
      <c r="E13" s="3" t="s">
        <v>47</v>
      </c>
    </row>
    <row r="14" spans="1:9" ht="16" x14ac:dyDescent="0.3">
      <c r="A14" s="25">
        <v>12</v>
      </c>
      <c r="B14" s="2" t="s">
        <v>218</v>
      </c>
      <c r="C14" s="2" t="s">
        <v>219</v>
      </c>
      <c r="D14" s="3">
        <v>150</v>
      </c>
      <c r="E14" s="3" t="s">
        <v>138</v>
      </c>
    </row>
    <row r="15" spans="1:9" x14ac:dyDescent="0.3">
      <c r="A15" s="25">
        <v>13</v>
      </c>
      <c r="B15" s="195" t="s">
        <v>220</v>
      </c>
      <c r="C15" s="196"/>
      <c r="D15" s="3">
        <v>70</v>
      </c>
      <c r="E15" s="3" t="s">
        <v>221</v>
      </c>
    </row>
    <row r="16" spans="1:9" x14ac:dyDescent="0.3">
      <c r="A16" s="25">
        <v>14</v>
      </c>
      <c r="B16" s="195" t="s">
        <v>222</v>
      </c>
      <c r="C16" s="196"/>
      <c r="D16" s="3">
        <v>38000</v>
      </c>
      <c r="E16" s="3" t="s">
        <v>187</v>
      </c>
    </row>
    <row r="17" spans="1:41" x14ac:dyDescent="0.3">
      <c r="A17" s="23">
        <v>15</v>
      </c>
      <c r="B17" s="195" t="s">
        <v>223</v>
      </c>
      <c r="C17" s="196"/>
      <c r="D17" s="3">
        <v>44000</v>
      </c>
      <c r="E17" s="3" t="s">
        <v>187</v>
      </c>
    </row>
    <row r="18" spans="1:41" ht="16.5" x14ac:dyDescent="0.3">
      <c r="A18" s="23">
        <v>16</v>
      </c>
      <c r="B18" s="3" t="s">
        <v>224</v>
      </c>
      <c r="C18" s="121" t="s">
        <v>226</v>
      </c>
      <c r="D18" s="2">
        <v>0.1</v>
      </c>
      <c r="E18" s="3" t="s">
        <v>225</v>
      </c>
    </row>
    <row r="19" spans="1:41" x14ac:dyDescent="0.3">
      <c r="A19" s="25">
        <v>17</v>
      </c>
      <c r="B19" s="3"/>
      <c r="C19" s="2"/>
      <c r="D19" s="3"/>
      <c r="E19" s="3"/>
    </row>
    <row r="20" spans="1:41" ht="14.5" thickBot="1" x14ac:dyDescent="0.35">
      <c r="A20" s="25">
        <v>18</v>
      </c>
      <c r="B20" s="3"/>
      <c r="C20" s="2"/>
      <c r="D20" s="3"/>
      <c r="E20" s="3"/>
    </row>
    <row r="21" spans="1:41" ht="33.5" customHeight="1" thickBot="1" x14ac:dyDescent="0.35">
      <c r="A21" s="166" t="s">
        <v>228</v>
      </c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8"/>
    </row>
    <row r="22" spans="1:41" ht="28" thickBot="1" x14ac:dyDescent="0.35">
      <c r="A22" s="166" t="s">
        <v>227</v>
      </c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8"/>
    </row>
    <row r="23" spans="1:41" x14ac:dyDescent="0.3">
      <c r="A23" s="160" t="s">
        <v>135</v>
      </c>
      <c r="B23" s="161"/>
      <c r="C23" s="68" t="s">
        <v>136</v>
      </c>
      <c r="D23" s="68" t="s">
        <v>32</v>
      </c>
      <c r="E23" s="69" t="s">
        <v>46</v>
      </c>
    </row>
    <row r="24" spans="1:41" x14ac:dyDescent="0.3">
      <c r="A24" s="162" t="s">
        <v>229</v>
      </c>
      <c r="B24" s="163"/>
      <c r="C24" s="71" t="s">
        <v>230</v>
      </c>
      <c r="D24" s="125">
        <f>(D3*D6)^0.5</f>
        <v>45.607017003965517</v>
      </c>
      <c r="E24" s="72" t="s">
        <v>154</v>
      </c>
    </row>
    <row r="25" spans="1:41" ht="16" x14ac:dyDescent="0.3">
      <c r="A25" s="162" t="s">
        <v>231</v>
      </c>
      <c r="B25" s="163"/>
      <c r="C25" s="71" t="s">
        <v>232</v>
      </c>
      <c r="D25" s="125">
        <f>D24/D3</f>
        <v>2.8504385627478448</v>
      </c>
      <c r="E25" s="72" t="s">
        <v>154</v>
      </c>
    </row>
    <row r="26" spans="1:41" ht="16" x14ac:dyDescent="0.3">
      <c r="A26" s="162" t="s">
        <v>233</v>
      </c>
      <c r="B26" s="163"/>
      <c r="C26" s="71" t="s">
        <v>234</v>
      </c>
      <c r="D26" s="125">
        <f>2*D25/(1+D10)</f>
        <v>3.8005847503304597</v>
      </c>
      <c r="E26" s="72" t="s">
        <v>154</v>
      </c>
    </row>
    <row r="27" spans="1:41" ht="16.5" thickBot="1" x14ac:dyDescent="0.35">
      <c r="A27" s="181" t="s">
        <v>235</v>
      </c>
      <c r="B27" s="182"/>
      <c r="C27" s="73" t="s">
        <v>236</v>
      </c>
      <c r="D27" s="126">
        <f>D10*D26</f>
        <v>1.9002923751652299</v>
      </c>
      <c r="E27" s="74" t="s">
        <v>154</v>
      </c>
    </row>
    <row r="28" spans="1:41" ht="28" thickBot="1" x14ac:dyDescent="0.35">
      <c r="A28" s="166" t="s">
        <v>237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8"/>
    </row>
    <row r="29" spans="1:41" x14ac:dyDescent="0.3">
      <c r="A29" s="160" t="s">
        <v>135</v>
      </c>
      <c r="B29" s="161"/>
      <c r="C29" s="68" t="s">
        <v>136</v>
      </c>
      <c r="D29" s="68" t="s">
        <v>32</v>
      </c>
      <c r="E29" s="69" t="s">
        <v>46</v>
      </c>
    </row>
    <row r="30" spans="1:41" x14ac:dyDescent="0.3">
      <c r="A30" s="162" t="s">
        <v>238</v>
      </c>
      <c r="B30" s="163"/>
      <c r="C30" s="71" t="s">
        <v>239</v>
      </c>
      <c r="D30" s="125">
        <f>(2/3)*D26*(1+D10+D10^2)/(1+D10)</f>
        <v>2.956010361368135</v>
      </c>
      <c r="E30" s="72" t="s">
        <v>154</v>
      </c>
    </row>
    <row r="31" spans="1:41" ht="16.5" thickBot="1" x14ac:dyDescent="0.35">
      <c r="A31" s="181" t="s">
        <v>296</v>
      </c>
      <c r="B31" s="182"/>
      <c r="C31" s="73" t="s">
        <v>281</v>
      </c>
      <c r="D31" s="126">
        <f>D24/6*(1+2*D10)/(1+D10)</f>
        <v>10.134892667547893</v>
      </c>
      <c r="E31" s="74" t="s">
        <v>154</v>
      </c>
    </row>
    <row r="32" spans="1:41" ht="28" thickBot="1" x14ac:dyDescent="0.35">
      <c r="A32" s="166" t="s">
        <v>240</v>
      </c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8"/>
    </row>
    <row r="33" spans="1:41" x14ac:dyDescent="0.3">
      <c r="A33" s="160" t="s">
        <v>135</v>
      </c>
      <c r="B33" s="161"/>
      <c r="C33" s="68" t="s">
        <v>136</v>
      </c>
      <c r="D33" s="68" t="s">
        <v>32</v>
      </c>
      <c r="E33" s="69" t="s">
        <v>46</v>
      </c>
    </row>
    <row r="34" spans="1:41" ht="16" x14ac:dyDescent="0.3">
      <c r="A34" s="162" t="s">
        <v>241</v>
      </c>
      <c r="B34" s="163"/>
      <c r="C34" s="71" t="s">
        <v>242</v>
      </c>
      <c r="D34" s="125">
        <f>D15*0.01*D26</f>
        <v>2.6604093252313219</v>
      </c>
      <c r="E34" s="72" t="s">
        <v>154</v>
      </c>
    </row>
    <row r="35" spans="1:41" x14ac:dyDescent="0.3">
      <c r="A35" s="162" t="s">
        <v>297</v>
      </c>
      <c r="B35" s="163"/>
      <c r="C35" s="71" t="s">
        <v>243</v>
      </c>
      <c r="D35" s="125">
        <f>0.16*D26</f>
        <v>0.60809356005287352</v>
      </c>
      <c r="E35" s="72" t="s">
        <v>154</v>
      </c>
    </row>
    <row r="36" spans="1:41" ht="16.5" x14ac:dyDescent="0.3">
      <c r="A36" s="162" t="s">
        <v>244</v>
      </c>
      <c r="B36" s="163"/>
      <c r="C36" s="71" t="s">
        <v>245</v>
      </c>
      <c r="D36" s="125">
        <f>2/3*D35*D34</f>
        <v>1.0785185185185182</v>
      </c>
      <c r="E36" s="72" t="s">
        <v>210</v>
      </c>
    </row>
    <row r="37" spans="1:41" ht="16" x14ac:dyDescent="0.3">
      <c r="A37" s="162" t="s">
        <v>246</v>
      </c>
      <c r="B37" s="163"/>
      <c r="C37" s="71" t="s">
        <v>247</v>
      </c>
      <c r="D37" s="125">
        <f>((D35/2)^2+4*D34^2)^0.5+(D35/2)^2/(4*D34)*SINH(2*D34/(D35/2))^(-1)</f>
        <v>5.3294986218410534</v>
      </c>
      <c r="E37" s="72" t="s">
        <v>154</v>
      </c>
    </row>
    <row r="38" spans="1:41" ht="16.5" thickBot="1" x14ac:dyDescent="0.35">
      <c r="A38" s="181" t="s">
        <v>248</v>
      </c>
      <c r="B38" s="182"/>
      <c r="C38" s="73" t="s">
        <v>249</v>
      </c>
      <c r="D38" s="126">
        <f>D10*D37</f>
        <v>2.6647493109205267</v>
      </c>
      <c r="E38" s="74" t="s">
        <v>154</v>
      </c>
    </row>
    <row r="39" spans="1:41" ht="28" thickBot="1" x14ac:dyDescent="0.35">
      <c r="A39" s="166" t="s">
        <v>258</v>
      </c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8"/>
    </row>
    <row r="40" spans="1:41" x14ac:dyDescent="0.3">
      <c r="A40" s="160" t="s">
        <v>135</v>
      </c>
      <c r="B40" s="161"/>
      <c r="C40" s="68" t="s">
        <v>136</v>
      </c>
      <c r="D40" s="68" t="s">
        <v>32</v>
      </c>
      <c r="E40" s="69" t="s">
        <v>46</v>
      </c>
    </row>
    <row r="41" spans="1:41" x14ac:dyDescent="0.3">
      <c r="A41" s="162" t="s">
        <v>250</v>
      </c>
      <c r="B41" s="163"/>
      <c r="C41" s="71" t="s">
        <v>251</v>
      </c>
      <c r="D41" s="125">
        <f>1/4*0.02378*(D14*1.688)^2*D6*D13*D30</f>
        <v>-14646.321597761727</v>
      </c>
      <c r="E41" s="72" t="s">
        <v>261</v>
      </c>
    </row>
    <row r="42" spans="1:41" ht="16" x14ac:dyDescent="0.3">
      <c r="A42" s="162" t="s">
        <v>252</v>
      </c>
      <c r="B42" s="163"/>
      <c r="C42" s="71" t="s">
        <v>253</v>
      </c>
      <c r="D42" s="127">
        <f>ABS(D41*12)/(2*D36*144*D16)</f>
        <v>1.489039166198123E-2</v>
      </c>
      <c r="E42" s="72" t="s">
        <v>262</v>
      </c>
    </row>
    <row r="43" spans="1:41" ht="16" x14ac:dyDescent="0.3">
      <c r="A43" s="193" t="s">
        <v>255</v>
      </c>
      <c r="B43" s="194"/>
      <c r="C43" s="71" t="s">
        <v>254</v>
      </c>
      <c r="D43" s="125">
        <v>0.02</v>
      </c>
      <c r="E43" s="72" t="s">
        <v>262</v>
      </c>
    </row>
    <row r="44" spans="1:41" ht="16.5" thickBot="1" x14ac:dyDescent="0.35">
      <c r="A44" s="191" t="s">
        <v>256</v>
      </c>
      <c r="B44" s="192"/>
      <c r="C44" s="73" t="s">
        <v>257</v>
      </c>
      <c r="D44" s="126">
        <v>0.02</v>
      </c>
      <c r="E44" s="74" t="s">
        <v>262</v>
      </c>
    </row>
    <row r="45" spans="1:41" ht="28" thickBot="1" x14ac:dyDescent="0.35">
      <c r="A45" s="166" t="s">
        <v>259</v>
      </c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8"/>
    </row>
    <row r="46" spans="1:41" x14ac:dyDescent="0.3">
      <c r="A46" s="160" t="s">
        <v>135</v>
      </c>
      <c r="B46" s="161"/>
      <c r="C46" s="68" t="s">
        <v>136</v>
      </c>
      <c r="D46" s="68" t="s">
        <v>32</v>
      </c>
      <c r="E46" s="69" t="s">
        <v>46</v>
      </c>
    </row>
    <row r="47" spans="1:41" ht="14.5" thickBot="1" x14ac:dyDescent="0.35">
      <c r="A47" s="181" t="s">
        <v>260</v>
      </c>
      <c r="B47" s="182"/>
      <c r="C47" s="73" t="s">
        <v>251</v>
      </c>
      <c r="D47" s="126">
        <f>D18*D24*12*(D43+D44)*D37*12*(1+D10)/8</f>
        <v>26.2507537010429</v>
      </c>
      <c r="E47" s="74" t="s">
        <v>155</v>
      </c>
    </row>
    <row r="48" spans="1:41" ht="28" thickBot="1" x14ac:dyDescent="0.35">
      <c r="A48" s="189" t="s">
        <v>263</v>
      </c>
      <c r="B48" s="190"/>
      <c r="C48" s="190"/>
      <c r="D48" s="190"/>
      <c r="E48" s="190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  <c r="AM48" s="167"/>
      <c r="AN48" s="167"/>
      <c r="AO48" s="168"/>
    </row>
    <row r="49" spans="1:41" x14ac:dyDescent="0.3">
      <c r="A49" s="160" t="s">
        <v>135</v>
      </c>
      <c r="B49" s="161"/>
      <c r="C49" s="68" t="s">
        <v>136</v>
      </c>
      <c r="D49" s="68" t="s">
        <v>32</v>
      </c>
      <c r="E49" s="69" t="s">
        <v>46</v>
      </c>
    </row>
    <row r="50" spans="1:41" x14ac:dyDescent="0.3">
      <c r="A50" s="162" t="s">
        <v>267</v>
      </c>
      <c r="B50" s="163"/>
      <c r="C50" s="71" t="s">
        <v>264</v>
      </c>
      <c r="D50" s="125">
        <f>D4*D8/2</f>
        <v>3960</v>
      </c>
      <c r="E50" s="72" t="s">
        <v>155</v>
      </c>
    </row>
    <row r="51" spans="1:41" ht="16" x14ac:dyDescent="0.3">
      <c r="A51" s="162" t="s">
        <v>268</v>
      </c>
      <c r="B51" s="163"/>
      <c r="C51" s="71" t="s">
        <v>265</v>
      </c>
      <c r="D51" s="128">
        <f>3*D4*D8/(4*D35*12*D16)</f>
        <v>2.1421565109719383E-2</v>
      </c>
      <c r="E51" s="72" t="s">
        <v>262</v>
      </c>
    </row>
    <row r="52" spans="1:41" ht="16" x14ac:dyDescent="0.3">
      <c r="A52" s="162" t="s">
        <v>269</v>
      </c>
      <c r="B52" s="163"/>
      <c r="C52" s="71" t="s">
        <v>271</v>
      </c>
      <c r="D52" s="128">
        <f>D51*0.15</f>
        <v>3.2132347664579073E-3</v>
      </c>
      <c r="E52" s="72" t="s">
        <v>262</v>
      </c>
    </row>
    <row r="53" spans="1:41" ht="16" x14ac:dyDescent="0.3">
      <c r="A53" s="162" t="s">
        <v>268</v>
      </c>
      <c r="B53" s="163"/>
      <c r="C53" s="71" t="s">
        <v>266</v>
      </c>
      <c r="D53" s="128">
        <v>2.5000000000000001E-2</v>
      </c>
      <c r="E53" s="72" t="s">
        <v>262</v>
      </c>
    </row>
    <row r="54" spans="1:41" ht="16.5" thickBot="1" x14ac:dyDescent="0.35">
      <c r="A54" s="181" t="s">
        <v>269</v>
      </c>
      <c r="B54" s="182"/>
      <c r="C54" s="73" t="s">
        <v>270</v>
      </c>
      <c r="D54" s="129">
        <v>0.02</v>
      </c>
      <c r="E54" s="74" t="s">
        <v>262</v>
      </c>
    </row>
    <row r="55" spans="1:41" ht="28" thickBot="1" x14ac:dyDescent="0.35">
      <c r="A55" s="189" t="s">
        <v>272</v>
      </c>
      <c r="B55" s="190"/>
      <c r="C55" s="190"/>
      <c r="D55" s="190"/>
      <c r="E55" s="190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8"/>
    </row>
    <row r="56" spans="1:41" x14ac:dyDescent="0.3">
      <c r="A56" s="160" t="s">
        <v>135</v>
      </c>
      <c r="B56" s="161"/>
      <c r="C56" s="68" t="s">
        <v>136</v>
      </c>
      <c r="D56" s="68" t="s">
        <v>32</v>
      </c>
      <c r="E56" s="69" t="s">
        <v>46</v>
      </c>
    </row>
    <row r="57" spans="1:41" ht="16.5" thickBot="1" x14ac:dyDescent="0.35">
      <c r="A57" s="162" t="s">
        <v>273</v>
      </c>
      <c r="B57" s="163"/>
      <c r="C57" s="71" t="s">
        <v>274</v>
      </c>
      <c r="D57" s="125">
        <f>D18*D24*12*(D53+D54)*D35*12*(1+D10)/8</f>
        <v>3.3695999999999993</v>
      </c>
      <c r="E57" s="72" t="s">
        <v>155</v>
      </c>
    </row>
    <row r="58" spans="1:41" ht="28" thickBot="1" x14ac:dyDescent="0.35">
      <c r="A58" s="189" t="s">
        <v>275</v>
      </c>
      <c r="B58" s="190"/>
      <c r="C58" s="190"/>
      <c r="D58" s="190"/>
      <c r="E58" s="190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  <c r="AM58" s="167"/>
      <c r="AN58" s="167"/>
      <c r="AO58" s="168"/>
    </row>
    <row r="59" spans="1:41" x14ac:dyDescent="0.3">
      <c r="A59" s="160" t="s">
        <v>135</v>
      </c>
      <c r="B59" s="161"/>
      <c r="C59" s="68" t="s">
        <v>136</v>
      </c>
      <c r="D59" s="68" t="s">
        <v>32</v>
      </c>
      <c r="E59" s="69" t="s">
        <v>46</v>
      </c>
    </row>
    <row r="60" spans="1:41" ht="16" x14ac:dyDescent="0.3">
      <c r="A60" s="162" t="s">
        <v>276</v>
      </c>
      <c r="B60" s="163"/>
      <c r="C60" s="71" t="s">
        <v>279</v>
      </c>
      <c r="D60" s="125">
        <f>D4*D8/2*D31/D35</f>
        <v>66000</v>
      </c>
      <c r="E60" s="72" t="s">
        <v>155</v>
      </c>
    </row>
    <row r="61" spans="1:41" ht="16.5" x14ac:dyDescent="0.3">
      <c r="A61" s="162" t="s">
        <v>277</v>
      </c>
      <c r="B61" s="163"/>
      <c r="C61" s="71" t="s">
        <v>280</v>
      </c>
      <c r="D61" s="128">
        <f>D60/D17</f>
        <v>1.5</v>
      </c>
      <c r="E61" s="72" t="s">
        <v>282</v>
      </c>
    </row>
    <row r="62" spans="1:41" ht="17" thickBot="1" x14ac:dyDescent="0.35">
      <c r="A62" s="162" t="s">
        <v>278</v>
      </c>
      <c r="B62" s="163"/>
      <c r="C62" s="71" t="s">
        <v>266</v>
      </c>
      <c r="D62" s="128">
        <f>0.05*D61</f>
        <v>7.5000000000000011E-2</v>
      </c>
      <c r="E62" s="72" t="s">
        <v>282</v>
      </c>
    </row>
    <row r="63" spans="1:41" ht="28" thickBot="1" x14ac:dyDescent="0.35">
      <c r="A63" s="189" t="s">
        <v>285</v>
      </c>
      <c r="B63" s="190"/>
      <c r="C63" s="190"/>
      <c r="D63" s="190"/>
      <c r="E63" s="190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8"/>
    </row>
    <row r="64" spans="1:41" x14ac:dyDescent="0.3">
      <c r="A64" s="160" t="s">
        <v>135</v>
      </c>
      <c r="B64" s="161"/>
      <c r="C64" s="68" t="s">
        <v>136</v>
      </c>
      <c r="D64" s="68" t="s">
        <v>32</v>
      </c>
      <c r="E64" s="69" t="s">
        <v>46</v>
      </c>
    </row>
    <row r="65" spans="1:41" ht="16.5" thickBot="1" x14ac:dyDescent="0.35">
      <c r="A65" s="162" t="s">
        <v>283</v>
      </c>
      <c r="B65" s="163"/>
      <c r="C65" s="71" t="s">
        <v>284</v>
      </c>
      <c r="D65" s="125">
        <f>D18*D24*12*(D61+D62)/2</f>
        <v>43.098631068747416</v>
      </c>
      <c r="E65" s="72" t="s">
        <v>155</v>
      </c>
    </row>
    <row r="66" spans="1:41" ht="28" thickBot="1" x14ac:dyDescent="0.35">
      <c r="A66" s="189" t="s">
        <v>286</v>
      </c>
      <c r="B66" s="190"/>
      <c r="C66" s="190"/>
      <c r="D66" s="190"/>
      <c r="E66" s="190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8"/>
    </row>
    <row r="67" spans="1:41" x14ac:dyDescent="0.3">
      <c r="A67" s="160" t="s">
        <v>135</v>
      </c>
      <c r="B67" s="161"/>
      <c r="C67" s="68" t="s">
        <v>136</v>
      </c>
      <c r="D67" s="68" t="s">
        <v>32</v>
      </c>
      <c r="E67" s="69" t="s">
        <v>46</v>
      </c>
    </row>
    <row r="68" spans="1:41" ht="16" x14ac:dyDescent="0.3">
      <c r="A68" s="162" t="s">
        <v>287</v>
      </c>
      <c r="B68" s="163"/>
      <c r="C68" s="71" t="s">
        <v>289</v>
      </c>
      <c r="D68" s="79">
        <f>ROUNDUP(D24/D25,0)+1</f>
        <v>17</v>
      </c>
      <c r="E68" s="72" t="s">
        <v>155</v>
      </c>
    </row>
    <row r="69" spans="1:41" ht="16.5" thickBot="1" x14ac:dyDescent="0.35">
      <c r="A69" s="162" t="s">
        <v>288</v>
      </c>
      <c r="B69" s="163"/>
      <c r="C69" s="71" t="s">
        <v>290</v>
      </c>
      <c r="D69" s="125">
        <f>D68*D18*D36*144*(1+D10^2)*(D43+D44)/4</f>
        <v>3.3002666666666656</v>
      </c>
      <c r="E69" s="72" t="s">
        <v>155</v>
      </c>
    </row>
    <row r="70" spans="1:41" ht="28" thickBot="1" x14ac:dyDescent="0.35">
      <c r="A70" s="189" t="s">
        <v>291</v>
      </c>
      <c r="B70" s="190"/>
      <c r="C70" s="190"/>
      <c r="D70" s="190"/>
      <c r="E70" s="190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8"/>
    </row>
    <row r="71" spans="1:41" x14ac:dyDescent="0.3">
      <c r="A71" s="160" t="s">
        <v>135</v>
      </c>
      <c r="B71" s="161"/>
      <c r="C71" s="68" t="s">
        <v>136</v>
      </c>
      <c r="D71" s="68" t="s">
        <v>32</v>
      </c>
      <c r="E71" s="69" t="s">
        <v>46</v>
      </c>
    </row>
    <row r="72" spans="1:41" ht="16" x14ac:dyDescent="0.3">
      <c r="A72" s="162" t="s">
        <v>294</v>
      </c>
      <c r="B72" s="163"/>
      <c r="C72" s="71" t="s">
        <v>295</v>
      </c>
      <c r="D72" s="125">
        <f>D47+D57+D65+D69</f>
        <v>76.019251436456983</v>
      </c>
      <c r="E72" s="72" t="s">
        <v>155</v>
      </c>
    </row>
    <row r="73" spans="1:41" ht="16" x14ac:dyDescent="0.3">
      <c r="A73" s="162" t="s">
        <v>292</v>
      </c>
      <c r="B73" s="163"/>
      <c r="C73" s="71" t="s">
        <v>293</v>
      </c>
      <c r="D73" s="125">
        <f>D72*2</f>
        <v>152.03850287291397</v>
      </c>
      <c r="E73" s="72" t="s">
        <v>155</v>
      </c>
    </row>
  </sheetData>
  <mergeCells count="57">
    <mergeCell ref="A72:B72"/>
    <mergeCell ref="A73:B73"/>
    <mergeCell ref="A67:B67"/>
    <mergeCell ref="A68:B68"/>
    <mergeCell ref="A69:B69"/>
    <mergeCell ref="A70:AO70"/>
    <mergeCell ref="A71:B71"/>
    <mergeCell ref="A62:B62"/>
    <mergeCell ref="A64:B64"/>
    <mergeCell ref="A63:AO63"/>
    <mergeCell ref="A65:B65"/>
    <mergeCell ref="A66:AO66"/>
    <mergeCell ref="A60:B60"/>
    <mergeCell ref="A58:AO58"/>
    <mergeCell ref="A59:B59"/>
    <mergeCell ref="A61:B61"/>
    <mergeCell ref="A55:AO55"/>
    <mergeCell ref="A56:B56"/>
    <mergeCell ref="A57:B57"/>
    <mergeCell ref="A1:I1"/>
    <mergeCell ref="B15:C15"/>
    <mergeCell ref="B16:C16"/>
    <mergeCell ref="A22:AO22"/>
    <mergeCell ref="A29:B29"/>
    <mergeCell ref="A21:AO21"/>
    <mergeCell ref="A28:AO28"/>
    <mergeCell ref="A23:B23"/>
    <mergeCell ref="A24:B24"/>
    <mergeCell ref="A25:B25"/>
    <mergeCell ref="A26:B26"/>
    <mergeCell ref="A27:B27"/>
    <mergeCell ref="A39:AO39"/>
    <mergeCell ref="A40:B40"/>
    <mergeCell ref="A41:B41"/>
    <mergeCell ref="A42:B42"/>
    <mergeCell ref="B17:C17"/>
    <mergeCell ref="A30:B30"/>
    <mergeCell ref="A31:B31"/>
    <mergeCell ref="A32:AO32"/>
    <mergeCell ref="A34:B34"/>
    <mergeCell ref="A35:B35"/>
    <mergeCell ref="A36:B36"/>
    <mergeCell ref="A37:B37"/>
    <mergeCell ref="A38:B38"/>
    <mergeCell ref="A33:B33"/>
    <mergeCell ref="A47:B47"/>
    <mergeCell ref="A48:AO48"/>
    <mergeCell ref="A44:B44"/>
    <mergeCell ref="A43:B43"/>
    <mergeCell ref="A45:AO45"/>
    <mergeCell ref="A46:B46"/>
    <mergeCell ref="A54:B54"/>
    <mergeCell ref="A49:B49"/>
    <mergeCell ref="A50:B50"/>
    <mergeCell ref="A51:B51"/>
    <mergeCell ref="A52:B52"/>
    <mergeCell ref="A53:B5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E187-D82C-4648-99A1-4FDBBCD40848}">
  <sheetPr codeName="Sheet6"/>
  <dimension ref="A1"/>
  <sheetViews>
    <sheetView tabSelected="1" workbookViewId="0"/>
  </sheetViews>
  <sheetFormatPr defaultRowHeight="14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00_大气属性</vt:lpstr>
      <vt:lpstr>01_单位换算</vt:lpstr>
      <vt:lpstr>02_飞机费用分析</vt:lpstr>
      <vt:lpstr>03_初始参数确定</vt:lpstr>
      <vt:lpstr>04_重量分析</vt:lpstr>
      <vt:lpstr>05_发动机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胡平</dc:creator>
  <cp:lastModifiedBy>胡平</cp:lastModifiedBy>
  <dcterms:created xsi:type="dcterms:W3CDTF">2015-06-05T18:19:34Z</dcterms:created>
  <dcterms:modified xsi:type="dcterms:W3CDTF">2023-05-10T16:25:26Z</dcterms:modified>
</cp:coreProperties>
</file>