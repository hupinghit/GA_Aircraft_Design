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upin\Nutstore\1\我的坚果云\飞机设计\"/>
    </mc:Choice>
  </mc:AlternateContent>
  <xr:revisionPtr revIDLastSave="0" documentId="13_ncr:1_{E7F70E81-5645-416A-9716-7C79E48960B9}" xr6:coauthVersionLast="47" xr6:coauthVersionMax="47" xr10:uidLastSave="{00000000-0000-0000-0000-000000000000}"/>
  <bookViews>
    <workbookView xWindow="-110" yWindow="-110" windowWidth="25820" windowHeight="15500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1" l="1"/>
  <c r="F3" i="1"/>
  <c r="E4" i="1"/>
  <c r="F4" i="1"/>
  <c r="E5" i="1"/>
  <c r="F5" i="1"/>
  <c r="E6" i="1"/>
  <c r="F6" i="1"/>
  <c r="E7" i="1"/>
  <c r="F7" i="1"/>
  <c r="E8" i="1"/>
  <c r="F8" i="1"/>
  <c r="E9" i="1"/>
  <c r="F9" i="1"/>
  <c r="E10" i="1"/>
  <c r="F10" i="1"/>
  <c r="E11" i="1"/>
  <c r="F11" i="1"/>
  <c r="E12" i="1"/>
  <c r="F12" i="1"/>
  <c r="E13" i="1"/>
  <c r="F13" i="1"/>
  <c r="E14" i="1"/>
  <c r="F14" i="1"/>
  <c r="E15" i="1"/>
  <c r="F15" i="1"/>
  <c r="E16" i="1"/>
  <c r="F16" i="1"/>
  <c r="E17" i="1"/>
  <c r="F17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G7" i="1" a="1"/>
  <c r="G11" i="1" a="1"/>
  <c r="G15" i="1" a="1"/>
  <c r="G3" i="1" a="1"/>
  <c r="G16" i="1" a="1"/>
  <c r="G9" i="1" a="1"/>
  <c r="G8" i="1" a="1"/>
  <c r="G17" i="1" a="1"/>
  <c r="G4" i="1" a="1"/>
  <c r="G12" i="1" a="1"/>
  <c r="G10" i="1" a="1"/>
  <c r="G13" i="1" a="1"/>
  <c r="G14" i="1" a="1"/>
  <c r="G5" i="1" a="1"/>
  <c r="G6" i="1" a="1"/>
  <c r="G6" i="1" l="1"/>
  <c r="G5" i="1"/>
  <c r="G14" i="1"/>
  <c r="G13" i="1"/>
  <c r="G10" i="1"/>
  <c r="G12" i="1"/>
  <c r="G4" i="1"/>
  <c r="G17" i="1"/>
  <c r="G8" i="1"/>
  <c r="G9" i="1"/>
  <c r="G16" i="1"/>
  <c r="G3" i="1"/>
  <c r="G15" i="1"/>
  <c r="G11" i="1"/>
  <c r="G7" i="1"/>
  <c r="F2" i="1"/>
  <c r="E2" i="1"/>
  <c r="C2" i="1"/>
  <c r="G2" i="1" a="1"/>
  <c r="G2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<sst xmlns="http://schemas.openxmlformats.org/spreadsheetml/2006/main" count="7" uniqueCount="7">
  <si>
    <t>飞机重量/Kg</t>
    <phoneticPr fontId="1" type="noConversion"/>
  </si>
  <si>
    <r>
      <t>迎风面积/m</t>
    </r>
    <r>
      <rPr>
        <vertAlign val="superscript"/>
        <sz val="11"/>
        <color theme="1"/>
        <rFont val="等线"/>
        <family val="3"/>
        <charset val="134"/>
        <scheme val="minor"/>
      </rPr>
      <t>2</t>
    </r>
    <phoneticPr fontId="1" type="noConversion"/>
  </si>
  <si>
    <r>
      <t>空气密度/(Kg/m</t>
    </r>
    <r>
      <rPr>
        <vertAlign val="superscript"/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2"/>
        <scheme val="minor"/>
      </rPr>
      <t>)</t>
    </r>
    <phoneticPr fontId="1" type="noConversion"/>
  </si>
  <si>
    <t>抗风速度/(m/s)</t>
    <phoneticPr fontId="1" type="noConversion"/>
  </si>
  <si>
    <t>抗风等级</t>
    <phoneticPr fontId="1" type="noConversion"/>
  </si>
  <si>
    <t>飞机倾角/°</t>
    <phoneticPr fontId="1" type="noConversion"/>
  </si>
  <si>
    <t>需要电机总推力/N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</si>
</sst>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_ "/>
  </numFmts>
  <fonts count="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vertAlign val="superscript"/>
      <sz val="11"/>
      <color theme="1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1"/>
  <sheetViews>
    <sheetView tabSelected="1" workbookViewId="0">
      <selection activeCell="E12" sqref="E12"/>
    </sheetView>
  </sheetViews>
  <sheetFormatPr defaultRowHeight="14" x14ac:dyDescent="0.3"/>
  <cols>
    <col min="1" max="1" width="16.75" customWidth="1"/>
    <col min="2" max="2" width="13.33203125" customWidth="1"/>
    <col min="3" max="4" width="13.58203125" customWidth="1"/>
    <col min="5" max="5" width="16.33203125" customWidth="1"/>
    <col min="6" max="6" width="12.9140625" customWidth="1"/>
    <col min="7" max="7" width="15.75" customWidth="1"/>
    <col min="8" max="8" width="16.1640625" customWidth="1"/>
  </cols>
  <sheetData>
    <row r="1" spans="1:7" ht="16.5" x14ac:dyDescent="0.3">
      <c r="A1" s="1" t="s">
        <v>2</v>
      </c>
      <c r="B1" s="1" t="s">
        <v>0</v>
      </c>
      <c r="C1" s="1" t="s">
        <v>1</v>
      </c>
      <c r="D1" s="1" t="s">
        <v>5</v>
      </c>
      <c r="E1" s="1" t="s">
        <v>6</v>
      </c>
      <c r="F1" s="1" t="s">
        <v>3</v>
      </c>
      <c r="G1" s="1" t="s">
        <v>4</v>
      </c>
    </row>
    <row r="2" spans="1:7" x14ac:dyDescent="0.3">
      <c r="A2" s="1">
        <v>1.29</v>
      </c>
      <c r="B2" s="1">
        <v>0.5</v>
      </c>
      <c r="C2" s="1">
        <f>0.07*0.16</f>
        <v>1.1200000000000002E-2</v>
      </c>
      <c r="D2" s="1">
        <v>20</v>
      </c>
      <c r="E2" s="2">
        <f>B2*9.8/COS(D2*3.14/180)</f>
        <v>5.214135330980759</v>
      </c>
      <c r="F2" s="2">
        <f>(B2*9.8*TAN(D2*3.14/180)/(A2*C2))^0.5</f>
        <v>11.107274877949164</v>
      </c>
      <c r="G2" s="1" cm="1">
        <f t="array" ref="G2">wind_rating(F2)</f>
        <v>6</v>
      </c>
    </row>
    <row r="3" spans="1:7" x14ac:dyDescent="0.3">
      <c r="A3" s="1">
        <v>1.29</v>
      </c>
      <c r="B3" s="1">
        <v>0.5</v>
      </c>
      <c r="C3" s="1">
        <f t="shared" ref="C3:C17" si="0">0.07*0.16</f>
        <v>1.1200000000000002E-2</v>
      </c>
      <c r="D3" s="1">
        <v>21</v>
      </c>
      <c r="E3" s="2">
        <f t="shared" ref="E3:E17" si="1">B3*9.8/COS(D3*3.14/180)</f>
        <v>5.2482362257336401</v>
      </c>
      <c r="F3" s="2">
        <f t="shared" ref="F3:F17" si="2">(B3*9.8*TAN(D3*3.14/180)/(A3*C3))^0.5</f>
        <v>11.406758904312625</v>
      </c>
      <c r="G3" s="1" cm="1">
        <f t="array" ref="G3">wind_rating(F3)</f>
        <v>6</v>
      </c>
    </row>
    <row r="4" spans="1:7" x14ac:dyDescent="0.3">
      <c r="A4" s="1">
        <v>1.29</v>
      </c>
      <c r="B4" s="1">
        <v>0.5</v>
      </c>
      <c r="C4" s="1">
        <f t="shared" si="0"/>
        <v>1.1200000000000002E-2</v>
      </c>
      <c r="D4" s="1">
        <v>22</v>
      </c>
      <c r="E4" s="2">
        <f t="shared" si="1"/>
        <v>5.2844047377170513</v>
      </c>
      <c r="F4" s="2">
        <f t="shared" si="2"/>
        <v>11.702461714824658</v>
      </c>
      <c r="G4" s="1" cm="1">
        <f t="array" ref="G4">wind_rating(F4)</f>
        <v>6</v>
      </c>
    </row>
    <row r="5" spans="1:7" x14ac:dyDescent="0.3">
      <c r="A5" s="1">
        <v>1.29</v>
      </c>
      <c r="B5" s="1">
        <v>0.5</v>
      </c>
      <c r="C5" s="1">
        <f t="shared" si="0"/>
        <v>1.1200000000000002E-2</v>
      </c>
      <c r="D5" s="1">
        <v>23</v>
      </c>
      <c r="E5" s="2">
        <f t="shared" si="1"/>
        <v>5.3227061678612335</v>
      </c>
      <c r="F5" s="2">
        <f t="shared" si="2"/>
        <v>11.994917056702301</v>
      </c>
      <c r="G5" s="1" cm="1">
        <f t="array" ref="G5">wind_rating(F5)</f>
        <v>6</v>
      </c>
    </row>
    <row r="6" spans="1:7" x14ac:dyDescent="0.3">
      <c r="A6" s="1">
        <v>1.29</v>
      </c>
      <c r="B6" s="1">
        <v>0.5</v>
      </c>
      <c r="C6" s="1">
        <f t="shared" si="0"/>
        <v>1.1200000000000002E-2</v>
      </c>
      <c r="D6" s="1">
        <v>24</v>
      </c>
      <c r="E6" s="2">
        <f t="shared" si="1"/>
        <v>5.3632108154326579</v>
      </c>
      <c r="F6" s="2">
        <f t="shared" si="2"/>
        <v>12.284616937760973</v>
      </c>
      <c r="G6" s="1" cm="1">
        <f t="array" ref="G6">wind_rating(F6)</f>
        <v>6</v>
      </c>
    </row>
    <row r="7" spans="1:7" x14ac:dyDescent="0.3">
      <c r="A7" s="1">
        <v>1.29</v>
      </c>
      <c r="B7" s="1">
        <v>0.5</v>
      </c>
      <c r="C7" s="1">
        <f t="shared" si="0"/>
        <v>1.1200000000000002E-2</v>
      </c>
      <c r="D7" s="1">
        <v>25</v>
      </c>
      <c r="E7" s="2">
        <f t="shared" si="1"/>
        <v>5.4059943169522606</v>
      </c>
      <c r="F7" s="2">
        <f t="shared" si="2"/>
        <v>12.572018689144391</v>
      </c>
      <c r="G7" s="1" cm="1">
        <f t="array" ref="G7">wind_rating(F7)</f>
        <v>6</v>
      </c>
    </row>
    <row r="8" spans="1:7" x14ac:dyDescent="0.3">
      <c r="A8" s="1">
        <v>1.29</v>
      </c>
      <c r="B8" s="1">
        <v>0.5</v>
      </c>
      <c r="C8" s="1">
        <f t="shared" si="0"/>
        <v>1.1200000000000002E-2</v>
      </c>
      <c r="D8" s="1">
        <v>26</v>
      </c>
      <c r="E8" s="2">
        <f t="shared" si="1"/>
        <v>5.4511380192815801</v>
      </c>
      <c r="F8" s="2">
        <f t="shared" si="2"/>
        <v>12.85755086657568</v>
      </c>
      <c r="G8" s="1" cm="1">
        <f t="array" ref="G8">wind_rating(F8)</f>
        <v>6</v>
      </c>
    </row>
    <row r="9" spans="1:7" x14ac:dyDescent="0.3">
      <c r="A9" s="1">
        <v>1.29</v>
      </c>
      <c r="B9" s="1">
        <v>0.5</v>
      </c>
      <c r="C9" s="1">
        <f t="shared" si="0"/>
        <v>1.1200000000000002E-2</v>
      </c>
      <c r="D9" s="1">
        <v>27</v>
      </c>
      <c r="E9" s="2">
        <f t="shared" si="1"/>
        <v>5.4987293905243062</v>
      </c>
      <c r="F9" s="2">
        <f t="shared" si="2"/>
        <v>13.14161824267379</v>
      </c>
      <c r="G9" s="1" cm="1">
        <f t="array" ref="G9">wind_rating(F9)</f>
        <v>6</v>
      </c>
    </row>
    <row r="10" spans="1:7" x14ac:dyDescent="0.3">
      <c r="A10" s="1">
        <v>1.29</v>
      </c>
      <c r="B10" s="1">
        <v>0.5</v>
      </c>
      <c r="C10" s="1">
        <f t="shared" si="0"/>
        <v>1.1200000000000002E-2</v>
      </c>
      <c r="D10" s="1">
        <v>28</v>
      </c>
      <c r="E10" s="2">
        <f t="shared" si="1"/>
        <v>5.5488624728711677</v>
      </c>
      <c r="F10" s="2">
        <f t="shared" si="2"/>
        <v>13.424606083754743</v>
      </c>
      <c r="G10" s="1" cm="1">
        <f t="array" ref="G10">wind_rating(F10)</f>
        <v>6</v>
      </c>
    </row>
    <row r="11" spans="1:7" x14ac:dyDescent="0.3">
      <c r="A11" s="1">
        <v>1.29</v>
      </c>
      <c r="B11" s="1">
        <v>0.5</v>
      </c>
      <c r="C11" s="1">
        <f t="shared" si="0"/>
        <v>1.1200000000000002E-2</v>
      </c>
      <c r="D11" s="1">
        <v>29</v>
      </c>
      <c r="E11" s="2">
        <f t="shared" si="1"/>
        <v>5.601638382066497</v>
      </c>
      <c r="F11" s="2">
        <f t="shared" si="2"/>
        <v>13.706883861273141</v>
      </c>
      <c r="G11" s="1" cm="1">
        <f t="array" ref="G11">wind_rating(F11)</f>
        <v>6</v>
      </c>
    </row>
    <row r="12" spans="1:7" x14ac:dyDescent="0.3">
      <c r="A12" s="1">
        <v>1.29</v>
      </c>
      <c r="B12" s="1">
        <v>0.5</v>
      </c>
      <c r="C12" s="1">
        <f t="shared" si="0"/>
        <v>1.1200000000000002E-2</v>
      </c>
      <c r="D12" s="1">
        <v>30</v>
      </c>
      <c r="E12" s="2">
        <f t="shared" si="1"/>
        <v>5.6571658588070974</v>
      </c>
      <c r="F12" s="2">
        <f t="shared" si="2"/>
        <v>13.988808516065021</v>
      </c>
      <c r="G12" s="1" cm="1">
        <f t="array" ref="G12">wind_rating(F12)</f>
        <v>7</v>
      </c>
    </row>
    <row r="13" spans="1:7" x14ac:dyDescent="0.3">
      <c r="A13" s="1">
        <v>1.29</v>
      </c>
      <c r="B13" s="1">
        <v>0.5</v>
      </c>
      <c r="C13" s="1">
        <f t="shared" si="0"/>
        <v>1.1200000000000002E-2</v>
      </c>
      <c r="D13" s="1">
        <v>31</v>
      </c>
      <c r="E13" s="2">
        <f t="shared" si="1"/>
        <v>5.7155618781119291</v>
      </c>
      <c r="F13" s="2">
        <f t="shared" si="2"/>
        <v>14.270727369685742</v>
      </c>
      <c r="G13" s="1" cm="1">
        <f t="array" ref="G13">wind_rating(F13)</f>
        <v>7</v>
      </c>
    </row>
    <row r="14" spans="1:7" x14ac:dyDescent="0.3">
      <c r="A14" s="1">
        <v>1.29</v>
      </c>
      <c r="B14" s="1">
        <v>0.5</v>
      </c>
      <c r="C14" s="1">
        <f t="shared" si="0"/>
        <v>1.1200000000000002E-2</v>
      </c>
      <c r="D14" s="1">
        <v>32</v>
      </c>
      <c r="E14" s="2">
        <f t="shared" si="1"/>
        <v>5.7769523235412983</v>
      </c>
      <c r="F14" s="2">
        <f t="shared" si="2"/>
        <v>14.552980759214044</v>
      </c>
      <c r="G14" s="1" cm="1">
        <f t="array" ref="G14">wind_rating(F14)</f>
        <v>7</v>
      </c>
    </row>
    <row r="15" spans="1:7" x14ac:dyDescent="0.3">
      <c r="A15" s="1">
        <v>1.29</v>
      </c>
      <c r="B15" s="1">
        <v>0.5</v>
      </c>
      <c r="C15" s="1">
        <f t="shared" si="0"/>
        <v>1.1200000000000002E-2</v>
      </c>
      <c r="D15" s="1">
        <v>33</v>
      </c>
      <c r="E15" s="2">
        <f t="shared" si="1"/>
        <v>5.8414727341163939</v>
      </c>
      <c r="F15" s="2">
        <f t="shared" si="2"/>
        <v>14.835904458383109</v>
      </c>
      <c r="G15" s="1" cm="1">
        <f t="array" ref="G15">wind_rating(F15)</f>
        <v>7</v>
      </c>
    </row>
    <row r="16" spans="1:7" x14ac:dyDescent="0.3">
      <c r="A16" s="1">
        <v>1.29</v>
      </c>
      <c r="B16" s="1">
        <v>0.5</v>
      </c>
      <c r="C16" s="1">
        <f t="shared" si="0"/>
        <v>1.1200000000000002E-2</v>
      </c>
      <c r="D16" s="1">
        <v>34</v>
      </c>
      <c r="E16" s="2">
        <f t="shared" si="1"/>
        <v>5.9092691329176645</v>
      </c>
      <c r="F16" s="2">
        <f t="shared" si="2"/>
        <v>15.119831937713217</v>
      </c>
      <c r="G16" s="1" cm="1">
        <f t="array" ref="G16">wind_rating(F16)</f>
        <v>7</v>
      </c>
    </row>
    <row r="17" spans="1:7" x14ac:dyDescent="0.3">
      <c r="A17" s="1">
        <v>1.29</v>
      </c>
      <c r="B17" s="1">
        <v>0.5</v>
      </c>
      <c r="C17" s="1">
        <f t="shared" si="0"/>
        <v>1.1200000000000002E-2</v>
      </c>
      <c r="D17" s="1">
        <v>35</v>
      </c>
      <c r="E17" s="2">
        <f t="shared" si="1"/>
        <v>5.9804989476520998</v>
      </c>
      <c r="F17" s="2">
        <f t="shared" si="2"/>
        <v>15.405096508679819</v>
      </c>
      <c r="G17" s="1" cm="1">
        <f t="array" ref="G17">wind_rating(F17)</f>
        <v>7</v>
      </c>
    </row>
    <row r="18" spans="1:7" x14ac:dyDescent="0.3">
      <c r="D18" s="1"/>
    </row>
    <row r="19" spans="1:7" x14ac:dyDescent="0.3">
      <c r="D19" s="1"/>
    </row>
    <row r="20" spans="1:7" x14ac:dyDescent="0.3">
      <c r="D20" s="1"/>
    </row>
    <row r="21" spans="1:7" x14ac:dyDescent="0.3">
      <c r="D21" s="1"/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胡平</dc:creator>
  <cp:lastModifiedBy>胡平</cp:lastModifiedBy>
  <dcterms:created xsi:type="dcterms:W3CDTF">2015-06-05T18:19:34Z</dcterms:created>
  <dcterms:modified xsi:type="dcterms:W3CDTF">2023-05-11T02:19:34Z</dcterms:modified>
</cp:coreProperties>
</file>